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Test_Plan" sheetId="2" state="visible" r:id="rId4"/>
    <sheet name="Legend" sheetId="3" state="visible" r:id="rId5"/>
  </sheets>
  <definedNames>
    <definedName function="false" hidden="false" localSheetId="0" name="_xlnm.Print_Area" vbProcedure="false">Summary!$A$1:$E$19</definedName>
    <definedName function="false" hidden="false" localSheetId="1" name="_xlnm.Print_Titles" vbProcedure="false">Test_Plan!$1:$1</definedName>
    <definedName function="false" hidden="true" localSheetId="1" name="_xlnm._FilterDatabase" vbProcedure="false">Test_Plan!$A$1:$K$65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<sst xmlns="http://schemas.openxmlformats.org/spreadsheetml/2006/main" count="732" uniqueCount="448">
  <si>
    <t xml:space="preserve">BMU Test Plan — Live Summary</t>
  </si>
  <si>
    <t xml:space="preserve">Counts update automatically as the Status column in Test_Plan changes.</t>
  </si>
  <si>
    <t xml:space="preserve">Total test cases</t>
  </si>
  <si>
    <t xml:space="preserve">By Status</t>
  </si>
  <si>
    <t xml:space="preserve">Count</t>
  </si>
  <si>
    <t xml:space="preserve">By Category</t>
  </si>
  <si>
    <t xml:space="preserve">Not Started</t>
  </si>
  <si>
    <t xml:space="preserve">Directed-Valid</t>
  </si>
  <si>
    <t xml:space="preserve">In Progress</t>
  </si>
  <si>
    <t xml:space="preserve">Directed-Corner</t>
  </si>
  <si>
    <t xml:space="preserve">Passing</t>
  </si>
  <si>
    <t xml:space="preserve">Directed-Error</t>
  </si>
  <si>
    <t xml:space="preserve">Failing</t>
  </si>
  <si>
    <t xml:space="preserve">Timing</t>
  </si>
  <si>
    <t xml:space="preserve">Blocked</t>
  </si>
  <si>
    <t xml:space="preserve">Reset</t>
  </si>
  <si>
    <t xml:space="preserve">% Passing</t>
  </si>
  <si>
    <t xml:space="preserve">CSR</t>
  </si>
  <si>
    <t xml:space="preserve">Random</t>
  </si>
  <si>
    <t xml:space="preserve">Scope-TBD</t>
  </si>
  <si>
    <t xml:space="preserve">Exit-criteria check (Verification Plan §5.2)</t>
  </si>
  <si>
    <t xml:space="preserve">High-priority tests still not Passing</t>
  </si>
  <si>
    <t xml:space="preserve">By Priority</t>
  </si>
  <si>
    <t xml:space="preserve">Open (Failing/Blocked) tests</t>
  </si>
  <si>
    <t xml:space="preserve">High</t>
  </si>
  <si>
    <t xml:space="preserve">Medium</t>
  </si>
  <si>
    <t xml:space="preserve">Low</t>
  </si>
  <si>
    <t xml:space="preserve">Test ID</t>
  </si>
  <si>
    <t xml:space="preserve">Feature / Operation</t>
  </si>
  <si>
    <t xml:space="preserve">Category</t>
  </si>
  <si>
    <t xml:space="preserve">Priority</t>
  </si>
  <si>
    <t xml:space="preserve">Description</t>
  </si>
  <si>
    <t xml:space="preserve">Stimulus Summary</t>
  </si>
  <si>
    <t xml:space="preserve">Expected Result</t>
  </si>
  <si>
    <t xml:space="preserve">Coverage Bin</t>
  </si>
  <si>
    <t xml:space="preserve">Sequence / File</t>
  </si>
  <si>
    <t xml:space="preserve">Status</t>
  </si>
  <si>
    <t xml:space="preserve">Notes</t>
  </si>
  <si>
    <t xml:space="preserve">TC_OR_001</t>
  </si>
  <si>
    <t xml:space="preserve">6.1.1 OR</t>
  </si>
  <si>
    <t xml:space="preserve">Confirms plain bitwise OR result.</t>
  </si>
  <si>
    <t xml:space="preserve">ap.lor=1; ap.zbb=0; a_in=0xF0F0F0F0; b_in=0x0F0F0F0F</t>
  </si>
  <si>
    <t xml:space="preserve">result=0xFFFFFFFF; error=0</t>
  </si>
  <si>
    <t xml:space="preserve">OR x zbb=0</t>
  </si>
  <si>
    <t xml:space="preserve">tb/sequences/logic_ops/or_valid_seq.sv</t>
  </si>
  <si>
    <t xml:space="preserve">TC_OR_002</t>
  </si>
  <si>
    <t xml:space="preserve">Confirms OR-with-inverted-b_in variant (ap.zbb=1).</t>
  </si>
  <si>
    <t xml:space="preserve">ap.lor=1; ap.zbb=1; a_in=0xAAAAAAAA; b_in=0x55555555</t>
  </si>
  <si>
    <t xml:space="preserve">OR x zbb=1</t>
  </si>
  <si>
    <t xml:space="preserve">tb/sequences/logic_ops/or_invert_seq.sv</t>
  </si>
  <si>
    <t xml:space="preserve">TC_OR_003</t>
  </si>
  <si>
    <t xml:space="preserve">Guard violation: a second ap.* field active alongside ap.lor.</t>
  </si>
  <si>
    <t xml:space="preserve">ap.lor=1; ap.lxor=1 (conflicting field); csr_ren_in=0</t>
  </si>
  <si>
    <t xml:space="preserve">result=0; error=1</t>
  </si>
  <si>
    <t xml:space="preserve">OR x guard-violation</t>
  </si>
  <si>
    <t xml:space="preserve">tb/sequences/error_injection/or_conflict_seq.sv</t>
  </si>
  <si>
    <t xml:space="preserve">TC_XOR_001</t>
  </si>
  <si>
    <t xml:space="preserve">6.1.2 XOR</t>
  </si>
  <si>
    <t xml:space="preserve">Confirms plain bitwise XOR result.</t>
  </si>
  <si>
    <t xml:space="preserve">ap.lxor=1; ap.zbb=0; a_in=0xF0F0F0F0; b_in=0x0F0F0F0F</t>
  </si>
  <si>
    <t xml:space="preserve">XOR x zbb=0</t>
  </si>
  <si>
    <t xml:space="preserve">tb/sequences/logic_ops/xor_valid_seq.sv</t>
  </si>
  <si>
    <t xml:space="preserve">TC_XOR_002</t>
  </si>
  <si>
    <t xml:space="preserve">Confirms XOR-with-inverted-b_in variant (ap.zbb=1).</t>
  </si>
  <si>
    <t xml:space="preserve">ap.lxor=1; ap.zbb=1; a_in=0xAAAAAAAA; b_in=0x55555555</t>
  </si>
  <si>
    <t xml:space="preserve">result=0x00000000; error=0</t>
  </si>
  <si>
    <t xml:space="preserve">XOR x zbb=1</t>
  </si>
  <si>
    <t xml:space="preserve">tb/sequences/logic_ops/xor_invert_seq.sv</t>
  </si>
  <si>
    <t xml:space="preserve">TC_XOR_003</t>
  </si>
  <si>
    <t xml:space="preserve">Guard violation: csr_ren_in asserted alongside ap.lxor.</t>
  </si>
  <si>
    <t xml:space="preserve">ap.lxor=1; csr_ren_in=1</t>
  </si>
  <si>
    <t xml:space="preserve">XOR x guard-violation</t>
  </si>
  <si>
    <t xml:space="preserve">tb/sequences/error_injection/xor_csr_conflict_seq.sv</t>
  </si>
  <si>
    <t xml:space="preserve">TC_SRL_001</t>
  </si>
  <si>
    <t xml:space="preserve">6.2.1 SRL</t>
  </si>
  <si>
    <t xml:space="preserve">Nominal logical right shift.</t>
  </si>
  <si>
    <t xml:space="preserve">ap.srl=1; a_in=0xF0000000; b_in[4:0]=4</t>
  </si>
  <si>
    <t xml:space="preserve">result=0x0F000000; error=0</t>
  </si>
  <si>
    <t xml:space="preserve">SRL x mid-range shift</t>
  </si>
  <si>
    <t xml:space="preserve">tb/sequences/shift_ops/srl_valid_seq.sv</t>
  </si>
  <si>
    <t xml:space="preserve">TC_SRL_002</t>
  </si>
  <si>
    <t xml:space="preserve">Boundary shift amounts: 0 (no-op) and 31 (max).</t>
  </si>
  <si>
    <t xml:space="preserve">ap.srl=1; b_in[4:0]=0 and b_in[4:0]=31, a_in=0xFFFFFFFF</t>
  </si>
  <si>
    <t xml:space="preserve">shift=0: result=a_in unchanged; shift=31: result=0x00000001; error=0</t>
  </si>
  <si>
    <t xml:space="preserve">SRL x {0,31}</t>
  </si>
  <si>
    <t xml:space="preserve">tb/sequences/shift_ops/srl_corner_seq.sv</t>
  </si>
  <si>
    <t xml:space="preserve">TC_SRL_003</t>
  </si>
  <si>
    <t xml:space="preserve">Guard violation on SRL.</t>
  </si>
  <si>
    <t xml:space="preserve">ap.srl=1; ap.sra=1 (conflicting field)</t>
  </si>
  <si>
    <t xml:space="preserve">SRL x guard-violation</t>
  </si>
  <si>
    <t xml:space="preserve">tb/sequences/error_injection/srl_conflict_seq.sv</t>
  </si>
  <si>
    <t xml:space="preserve">TC_SRA_001</t>
  </si>
  <si>
    <t xml:space="preserve">6.2.2 SRA</t>
  </si>
  <si>
    <t xml:space="preserve">Nominal arithmetic right shift, negative operand.</t>
  </si>
  <si>
    <t xml:space="preserve">ap.sra=1; a_in=0xF0000000; b_in[4:0]=4</t>
  </si>
  <si>
    <t xml:space="preserve">result=0xFF000000 (sign-extended); error=0</t>
  </si>
  <si>
    <t xml:space="preserve">SRA x negative operand</t>
  </si>
  <si>
    <t xml:space="preserve">tb/sequences/shift_ops/sra_valid_seq.sv</t>
  </si>
  <si>
    <t xml:space="preserve">TC_SRA_002</t>
  </si>
  <si>
    <t xml:space="preserve">Max shift amount fully sign-fills the result.</t>
  </si>
  <si>
    <t xml:space="preserve">ap.sra=1; a_in=0x80000000; b_in[4:0]=31</t>
  </si>
  <si>
    <t xml:space="preserve">SRA x shift=31</t>
  </si>
  <si>
    <t xml:space="preserve">tb/sequences/shift_ops/sra_corner_seq.sv</t>
  </si>
  <si>
    <t xml:space="preserve">TC_SRA_003</t>
  </si>
  <si>
    <t xml:space="preserve">Guard violation on SRA.</t>
  </si>
  <si>
    <t xml:space="preserve">ap.sra=1; ap.ror=1 (conflicting field)</t>
  </si>
  <si>
    <t xml:space="preserve">SRA x guard-violation</t>
  </si>
  <si>
    <t xml:space="preserve">tb/sequences/error_injection/sra_conflict_seq.sv</t>
  </si>
  <si>
    <t xml:space="preserve">TC_ROR_001</t>
  </si>
  <si>
    <t xml:space="preserve">6.2.3 ROR</t>
  </si>
  <si>
    <t xml:space="preserve">Nominal rotate-right result.</t>
  </si>
  <si>
    <t xml:space="preserve">ap.ror=1; a_in=0x89ABCDEF; b_in[4:0]=4</t>
  </si>
  <si>
    <t xml:space="preserve">result=0xF89ABCDE; error=0</t>
  </si>
  <si>
    <t xml:space="preserve">ROR x mid-range amount</t>
  </si>
  <si>
    <t xml:space="preserve">tb/sequences/shift_ops/ror_valid_seq.sv</t>
  </si>
  <si>
    <t xml:space="preserve">TC_ROR_002</t>
  </si>
  <si>
    <t xml:space="preserve">Boundary amounts: 0 (no-op) and 31 (near-full rotation).</t>
  </si>
  <si>
    <t xml:space="preserve">ap.ror=1; b_in[4:0]=0 and 31, a_in=0x00000001</t>
  </si>
  <si>
    <t xml:space="preserve">shift=0: result unchanged; shift=31: result=0x00000002; error=0</t>
  </si>
  <si>
    <t xml:space="preserve">ROR x {0,31}</t>
  </si>
  <si>
    <t xml:space="preserve">tb/sequences/shift_ops/ror_corner_seq.sv</t>
  </si>
  <si>
    <t xml:space="preserve">TC_ROR_003</t>
  </si>
  <si>
    <t xml:space="preserve">Guard violation on ROR.</t>
  </si>
  <si>
    <t xml:space="preserve">ap.ror=1; ap.binv=1 (conflicting field)</t>
  </si>
  <si>
    <t xml:space="preserve">ROR x guard-violation</t>
  </si>
  <si>
    <t xml:space="preserve">tb/sequences/error_injection/ror_conflict_seq.sv</t>
  </si>
  <si>
    <t xml:space="preserve">TC_BINV_001</t>
  </si>
  <si>
    <t xml:space="preserve">6.2.4 BINV</t>
  </si>
  <si>
    <t xml:space="preserve">Nominal single-bit invert, mid-range position.</t>
  </si>
  <si>
    <t xml:space="preserve">ap.binv=1; a_in=0xFFFFFFFF; b_in[4:0]=2</t>
  </si>
  <si>
    <t xml:space="preserve">result=0xFFFFFFFB; error=0</t>
  </si>
  <si>
    <t xml:space="preserve">BINV x mid-range bit</t>
  </si>
  <si>
    <t xml:space="preserve">tb/sequences/bit_ops/binv_valid_seq.sv</t>
  </si>
  <si>
    <t xml:space="preserve">TC_BINV_002</t>
  </si>
  <si>
    <t xml:space="preserve">Boundary bit positions 0 and 31.</t>
  </si>
  <si>
    <t xml:space="preserve">ap.binv=1; b_in[4:0]=0 and 31, a_in=0x00000000</t>
  </si>
  <si>
    <t xml:space="preserve">bit0: result=0x00000001; bit31: result=0x80000000; error=0</t>
  </si>
  <si>
    <t xml:space="preserve">BINV x {bit0,bit31}</t>
  </si>
  <si>
    <t xml:space="preserve">tb/sequences/bit_ops/binv_corner_seq.sv</t>
  </si>
  <si>
    <t xml:space="preserve">TC_BINV_003</t>
  </si>
  <si>
    <t xml:space="preserve">Guard violation on BINV.</t>
  </si>
  <si>
    <t xml:space="preserve">ap.binv=1; csr_ren_in=1</t>
  </si>
  <si>
    <t xml:space="preserve">BINV x guard-violation</t>
  </si>
  <si>
    <t xml:space="preserve">tb/sequences/error_injection/binv_csr_conflict_seq.sv</t>
  </si>
  <si>
    <t xml:space="preserve">TC_SH2ADD_001</t>
  </si>
  <si>
    <t xml:space="preserve">6.3.1 SH2ADD</t>
  </si>
  <si>
    <t xml:space="preserve">Nominal shift-left-2-and-add, Zba mode correctly asserted.</t>
  </si>
  <si>
    <t xml:space="preserve">ap.sh2add=1; ap.zba=1; a_in=4; b_in=7</t>
  </si>
  <si>
    <t xml:space="preserve">result=23; error=0</t>
  </si>
  <si>
    <t xml:space="preserve">SH2ADD x valid</t>
  </si>
  <si>
    <t xml:space="preserve">tb/sequences/zba_ops/sh2add_valid_seq.sv</t>
  </si>
  <si>
    <t xml:space="preserve">TC_SH2ADD_002</t>
  </si>
  <si>
    <t xml:space="preserve">Op-defining guard: ap.zba not asserted.</t>
  </si>
  <si>
    <t xml:space="preserve">ap.sh2add=1; ap.zba=0</t>
  </si>
  <si>
    <t xml:space="preserve">SH2ADD x zba=0</t>
  </si>
  <si>
    <t xml:space="preserve">tb/sequences/zba_ops/sh2add_no_zba_seq.sv</t>
  </si>
  <si>
    <t xml:space="preserve">TC_SH2ADD_003</t>
  </si>
  <si>
    <t xml:space="preserve">Generic guard violation: conflicting field + CSR read.</t>
  </si>
  <si>
    <t xml:space="preserve">ap.sh2add=1; ap.zba=1; ap.lor=1; csr_ren_in=1</t>
  </si>
  <si>
    <t xml:space="preserve">SH2ADD x guard-violation</t>
  </si>
  <si>
    <t xml:space="preserve">tb/sequences/error_injection/sh2add_conflict_seq.sv</t>
  </si>
  <si>
    <t xml:space="preserve">TC_SUB_001</t>
  </si>
  <si>
    <t xml:space="preserve">6.4.1 SUB</t>
  </si>
  <si>
    <t xml:space="preserve">Nominal subtraction.</t>
  </si>
  <si>
    <t xml:space="preserve">ap.sub=1; a_in=20; b_in=7</t>
  </si>
  <si>
    <t xml:space="preserve">result=13; error=0</t>
  </si>
  <si>
    <t xml:space="preserve">SUB x nominal</t>
  </si>
  <si>
    <t xml:space="preserve">tb/sequences/base/sub_valid_seq.sv</t>
  </si>
  <si>
    <t xml:space="preserve">TC_SUB_002</t>
  </si>
  <si>
    <t xml:space="preserve">Underflow wraps per two's-complement (0 - 1).</t>
  </si>
  <si>
    <t xml:space="preserve">ap.sub=1; a_in=0; b_in=1</t>
  </si>
  <si>
    <t xml:space="preserve">SUB x underflow</t>
  </si>
  <si>
    <t xml:space="preserve">tb/sequences/base/sub_corner_seq.sv</t>
  </si>
  <si>
    <t xml:space="preserve">TC_SUB_003</t>
  </si>
  <si>
    <t xml:space="preserve">Op-defining guard: plain SUB with ap.zba mistakenly asserted.</t>
  </si>
  <si>
    <t xml:space="preserve">ap.sub=1; ap.zba=1</t>
  </si>
  <si>
    <t xml:space="preserve">SUB x zba-misuse</t>
  </si>
  <si>
    <t xml:space="preserve">tb/sequences/error_injection/sub_zba_misuse_seq.sv</t>
  </si>
  <si>
    <t xml:space="preserve">TC_SLT_001</t>
  </si>
  <si>
    <t xml:space="preserve">6.4.2 SLT/SLTU</t>
  </si>
  <si>
    <t xml:space="preserve">Signed SLT, negative &lt; positive.</t>
  </si>
  <si>
    <t xml:space="preserve">ap.slt=1; ap.sub=1; ap.unsign=0; a_in=-2; b_in=1</t>
  </si>
  <si>
    <t xml:space="preserve">result=1; error=0</t>
  </si>
  <si>
    <t xml:space="preserve">SLT x signed</t>
  </si>
  <si>
    <t xml:space="preserve">tb/sequences/base/slt_signed_seq.sv</t>
  </si>
  <si>
    <t xml:space="preserve">TC_SLT_002</t>
  </si>
  <si>
    <t xml:space="preserve">Unsigned SLTU — same bit pattern as TC_SLT_001 compares as large positive, not less-than.</t>
  </si>
  <si>
    <t xml:space="preserve">ap.slt=1; ap.sub=1; ap.unsign=1; a_in=0xFFFFFFFE; b_in=1</t>
  </si>
  <si>
    <t xml:space="preserve">result=0; error=0</t>
  </si>
  <si>
    <t xml:space="preserve">SLT x unsigned</t>
  </si>
  <si>
    <t xml:space="preserve">tb/sequences/base/slt_unsigned_seq.sv</t>
  </si>
  <si>
    <t xml:space="preserve">TC_SLT_003</t>
  </si>
  <si>
    <t xml:space="preserve">Equal operands must yield 0 in both modes.</t>
  </si>
  <si>
    <t xml:space="preserve">ap.slt=1; ap.sub=1; a_in=5; b_in=5; ap.unsign=0 then 1</t>
  </si>
  <si>
    <t xml:space="preserve">result=0 in both modes; error=0</t>
  </si>
  <si>
    <t xml:space="preserve">SLT x equal-operands</t>
  </si>
  <si>
    <t xml:space="preserve">tb/sequences/base/slt_equal_seq.sv</t>
  </si>
  <si>
    <t xml:space="preserve">TC_SLT_004</t>
  </si>
  <si>
    <t xml:space="preserve">Guard violation on SLT.</t>
  </si>
  <si>
    <t xml:space="preserve">ap.slt=1; ap.sub=1; ap.lor=1 (conflicting field)</t>
  </si>
  <si>
    <t xml:space="preserve">SLT x guard-violation</t>
  </si>
  <si>
    <t xml:space="preserve">tb/sequences/error_injection/slt_conflict_seq.sv</t>
  </si>
  <si>
    <t xml:space="preserve">TC_CTZ_001</t>
  </si>
  <si>
    <t xml:space="preserve">6.5.1 CTZ</t>
  </si>
  <si>
    <t xml:space="preserve">Nominal trailing-zero count.</t>
  </si>
  <si>
    <t xml:space="preserve">ap.ctz=1; a_in=0x00000100</t>
  </si>
  <si>
    <t xml:space="preserve">result=8; error=0</t>
  </si>
  <si>
    <t xml:space="preserve">CTZ x mid-range</t>
  </si>
  <si>
    <t xml:space="preserve">tb/sequences/count_ops/ctz_valid_seq.sv</t>
  </si>
  <si>
    <t xml:space="preserve">TC_CTZ_002</t>
  </si>
  <si>
    <t xml:space="preserve">All-zero input — the corrected value (was wrongly 0 in spec v1.1). High priority: prior spec bug, must not regress.</t>
  </si>
  <si>
    <t xml:space="preserve">ap.ctz=1; a_in=0x00000000</t>
  </si>
  <si>
    <t xml:space="preserve">result=32; error=0</t>
  </si>
  <si>
    <t xml:space="preserve">CTZ x all-zero</t>
  </si>
  <si>
    <t xml:space="preserve">tb/sequences/count_ops/ctz_zero_seq.sv</t>
  </si>
  <si>
    <t xml:space="preserve">Verifies Specification v1.2 correction over v1.1</t>
  </si>
  <si>
    <t xml:space="preserve">TC_CTZ_003</t>
  </si>
  <si>
    <t xml:space="preserve">All-ones input — bit 0 already set, count is 0.</t>
  </si>
  <si>
    <t xml:space="preserve">ap.ctz=1; a_in=0xFFFFFFFF</t>
  </si>
  <si>
    <t xml:space="preserve">CTZ x all-ones</t>
  </si>
  <si>
    <t xml:space="preserve">tb/sequences/count_ops/ctz_ones_seq.sv</t>
  </si>
  <si>
    <t xml:space="preserve">TC_CTZ_004</t>
  </si>
  <si>
    <t xml:space="preserve">Guard violation on CTZ.</t>
  </si>
  <si>
    <t xml:space="preserve">ap.ctz=1; csr_ren_in=1</t>
  </si>
  <si>
    <t xml:space="preserve">CTZ x guard-violation</t>
  </si>
  <si>
    <t xml:space="preserve">tb/sequences/error_injection/ctz_csr_conflict_seq.sv</t>
  </si>
  <si>
    <t xml:space="preserve">TC_CPOP_001</t>
  </si>
  <si>
    <t xml:space="preserve">6.5.2 CPOP</t>
  </si>
  <si>
    <t xml:space="preserve">Nominal population count, mixed bits.</t>
  </si>
  <si>
    <t xml:space="preserve">ap.cpop=1; a_in=0xF0F0F00F</t>
  </si>
  <si>
    <t xml:space="preserve">result=16; error=0</t>
  </si>
  <si>
    <t xml:space="preserve">CPOP x mixed</t>
  </si>
  <si>
    <t xml:space="preserve">tb/sequences/count_ops/cpop_valid_seq.sv</t>
  </si>
  <si>
    <t xml:space="preserve">TC_CPOP_002</t>
  </si>
  <si>
    <t xml:space="preserve">Boundary counts: all-zero and all-one inputs.</t>
  </si>
  <si>
    <t xml:space="preserve">ap.cpop=1; a_in=0x00000000 and 0xFFFFFFFF</t>
  </si>
  <si>
    <t xml:space="preserve">result=0 and 32 respectively; error=0</t>
  </si>
  <si>
    <t xml:space="preserve">CPOP x {0,32}</t>
  </si>
  <si>
    <t xml:space="preserve">tb/sequences/count_ops/cpop_corner_seq.sv</t>
  </si>
  <si>
    <t xml:space="preserve">TC_CPOP_003</t>
  </si>
  <si>
    <t xml:space="preserve">Guard violation on CPOP.</t>
  </si>
  <si>
    <t xml:space="preserve">ap.cpop=1; ap.pack=1 (conflicting field)</t>
  </si>
  <si>
    <t xml:space="preserve">CPOP x guard-violation</t>
  </si>
  <si>
    <t xml:space="preserve">tb/sequences/error_injection/cpop_conflict_seq.sv</t>
  </si>
  <si>
    <t xml:space="preserve">TC_SEXTB_001</t>
  </si>
  <si>
    <t xml:space="preserve">6.6.1 SEXT.B</t>
  </si>
  <si>
    <t xml:space="preserve">Positive byte value (bit 7 = 0) — upper bits stay 0.</t>
  </si>
  <si>
    <t xml:space="preserve">ap.siext_b=1; a_in=0x0000007F</t>
  </si>
  <si>
    <t xml:space="preserve">result=0x0000007F; error=0</t>
  </si>
  <si>
    <t xml:space="preserve">SEXT.B x positive</t>
  </si>
  <si>
    <t xml:space="preserve">tb/sequences/sign_extend_ops/sextb_pos_seq.sv</t>
  </si>
  <si>
    <t xml:space="preserve">TC_SEXTB_002</t>
  </si>
  <si>
    <t xml:space="preserve">Negative byte value (bit 7 = 1) — sign-bit replication is the core function being tested.</t>
  </si>
  <si>
    <t xml:space="preserve">ap.siext_b=1; a_in=0x000000FF</t>
  </si>
  <si>
    <t xml:space="preserve">SEXT.B x negative</t>
  </si>
  <si>
    <t xml:space="preserve">tb/sequences/sign_extend_ops/sextb_neg_seq.sv</t>
  </si>
  <si>
    <t xml:space="preserve">TC_SEXTB_003</t>
  </si>
  <si>
    <t xml:space="preserve">Guard violation on SEXT.B.</t>
  </si>
  <si>
    <t xml:space="preserve">ap.siext_b=1; csr_ren_in=1</t>
  </si>
  <si>
    <t xml:space="preserve">SEXT.B x guard-violation</t>
  </si>
  <si>
    <t xml:space="preserve">tb/sequences/error_injection/sextb_csr_conflict_seq.sv</t>
  </si>
  <si>
    <t xml:space="preserve">TC_MAX_001</t>
  </si>
  <si>
    <t xml:space="preserve">6.7.1 MAX</t>
  </si>
  <si>
    <t xml:space="preserve">Nominal max, b_in larger.</t>
  </si>
  <si>
    <t xml:space="preserve">ap.max=1; ap.sub=1; a_in=10; b_in=20</t>
  </si>
  <si>
    <t xml:space="preserve">result=20; error=0</t>
  </si>
  <si>
    <t xml:space="preserve">MAX x b-larger</t>
  </si>
  <si>
    <t xml:space="preserve">tb/sequences/minmax_ops/max_valid_seq.sv</t>
  </si>
  <si>
    <t xml:space="preserve">TC_MAX_002</t>
  </si>
  <si>
    <t xml:space="preserve">Operand order reversed — confirms comparator, not a fixed operand preference.</t>
  </si>
  <si>
    <t xml:space="preserve">ap.max=1; ap.sub=1; a_in=20; b_in=10</t>
  </si>
  <si>
    <t xml:space="preserve">MAX x a-larger</t>
  </si>
  <si>
    <t xml:space="preserve">tb/sequences/minmax_ops/max_reversed_seq.sv</t>
  </si>
  <si>
    <t xml:space="preserve">TC_MAX_003</t>
  </si>
  <si>
    <t xml:space="preserve">Negative vs. positive — confirms signed comparison, not raw bit magnitude.</t>
  </si>
  <si>
    <t xml:space="preserve">ap.max=1; ap.sub=1; a_in=-1; b_in=1</t>
  </si>
  <si>
    <t xml:space="preserve">MAX x signed-boundary</t>
  </si>
  <si>
    <t xml:space="preserve">tb/sequences/minmax_ops/max_signed_seq.sv</t>
  </si>
  <si>
    <t xml:space="preserve">TC_MAX_004</t>
  </si>
  <si>
    <t xml:space="preserve">Guard violation on MAX.</t>
  </si>
  <si>
    <t xml:space="preserve">ap.max=1; ap.sub=1; ap.lxor=1 (conflicting field)</t>
  </si>
  <si>
    <t xml:space="preserve">MAX x guard-violation</t>
  </si>
  <si>
    <t xml:space="preserve">tb/sequences/error_injection/max_conflict_seq.sv</t>
  </si>
  <si>
    <t xml:space="preserve">TC_PACK_001</t>
  </si>
  <si>
    <t xml:space="preserve">6.8.1 PACK</t>
  </si>
  <si>
    <t xml:space="preserve">Nominal pack of two half-words.</t>
  </si>
  <si>
    <t xml:space="preserve">ap.pack=1; a_in=0x00001234; b_in=0x00005678</t>
  </si>
  <si>
    <t xml:space="preserve">result=0x56781234; error=0</t>
  </si>
  <si>
    <t xml:space="preserve">PACK x nominal</t>
  </si>
  <si>
    <t xml:space="preserve">tb/sequences/pack_ops/pack_valid_seq.sv</t>
  </si>
  <si>
    <t xml:space="preserve">TC_PACK_002</t>
  </si>
  <si>
    <t xml:space="preserve">Boundary half-word patterns (all-0 / all-1).</t>
  </si>
  <si>
    <t xml:space="preserve">ap.pack=1; a_in=0x0000FFFF; b_in=0x00000000</t>
  </si>
  <si>
    <t xml:space="preserve">result=0x0000FFFF; error=0</t>
  </si>
  <si>
    <t xml:space="preserve">PACK x boundary</t>
  </si>
  <si>
    <t xml:space="preserve">tb/sequences/pack_ops/pack_corner_seq.sv</t>
  </si>
  <si>
    <t xml:space="preserve">TC_PACK_003</t>
  </si>
  <si>
    <t xml:space="preserve">Guard violation on PACK.</t>
  </si>
  <si>
    <t xml:space="preserve">ap.pack=1; csr_ren_in=1</t>
  </si>
  <si>
    <t xml:space="preserve">PACK x guard-violation</t>
  </si>
  <si>
    <t xml:space="preserve">tb/sequences/error_injection/pack_csr_conflict_seq.sv</t>
  </si>
  <si>
    <t xml:space="preserve">TC_GREV_001</t>
  </si>
  <si>
    <t xml:space="preserve">6.8.2 GREV</t>
  </si>
  <si>
    <t xml:space="preserve">Nominal byte-reverse, the one implemented encoding.</t>
  </si>
  <si>
    <t xml:space="preserve">ap.grev=1; a_in=0x12345678; b_in[4:0]=24</t>
  </si>
  <si>
    <t xml:space="preserve">result=0x78563412; error=0</t>
  </si>
  <si>
    <t xml:space="preserve">GREV x b_in=24</t>
  </si>
  <si>
    <t xml:space="preserve">tb/sequences/pack_ops/grev_valid_seq.sv</t>
  </si>
  <si>
    <t xml:space="preserve">TC_GREV_002</t>
  </si>
  <si>
    <t xml:space="preserve">ASSUMPTION (Spec §7.1, not design-team-confirmed): undefined encoding treated as error.</t>
  </si>
  <si>
    <t xml:space="preserve">ap.grev=1; b_in[4:0]=5 (≠ 24)</t>
  </si>
  <si>
    <t xml:space="preserve">result=0; error=1 — per adopted assumption, re-verify if design team answers differently</t>
  </si>
  <si>
    <t xml:space="preserve">GREV x undefined-encoding</t>
  </si>
  <si>
    <t xml:space="preserve">tb/sequences/pack_ops/grev_undefined_seq.sv</t>
  </si>
  <si>
    <t xml:space="preserve">See CLARIF-004</t>
  </si>
  <si>
    <t xml:space="preserve">TC_GREV_003</t>
  </si>
  <si>
    <t xml:space="preserve">Generic guard violation on GREV.</t>
  </si>
  <si>
    <t xml:space="preserve">ap.grev=1; b_in[4:0]=24; csr_ren_in=1</t>
  </si>
  <si>
    <t xml:space="preserve">GREV x guard-violation</t>
  </si>
  <si>
    <t xml:space="preserve">tb/sequences/error_injection/grev_csr_conflict_seq.sv</t>
  </si>
  <si>
    <t xml:space="preserve">TC_CSR_001</t>
  </si>
  <si>
    <t xml:space="preserve">6.9.1 CSR bypass read</t>
  </si>
  <si>
    <t xml:space="preserve">Pure CSR bypass read — directly validates the CSR-conflict scoping assumption (Spec §7.2).</t>
  </si>
  <si>
    <t xml:space="preserve">csr_ren_in=1; ap=0 (all fields clear); csr_rddata_in=0xABCD1234</t>
  </si>
  <si>
    <t xml:space="preserve">result=0xABCD1234; error=0</t>
  </si>
  <si>
    <t xml:space="preserve">CSR x bypass-read</t>
  </si>
  <si>
    <t xml:space="preserve">tb/sequences/csr_ops/csr_bypass_read_seq.sv</t>
  </si>
  <si>
    <t xml:space="preserve">See CLARIF-005</t>
  </si>
  <si>
    <t xml:space="preserve">TC_CSR_002</t>
  </si>
  <si>
    <t xml:space="preserve">6.9.2 CSR write</t>
  </si>
  <si>
    <t xml:space="preserve">CSR write, immediate form.</t>
  </si>
  <si>
    <t xml:space="preserve">ap.csr_write=1; ap.csr_imm=1; b_in=0x11112222</t>
  </si>
  <si>
    <t xml:space="preserve">result=0x11112222; error=0</t>
  </si>
  <si>
    <t xml:space="preserve">CSR x write-imm</t>
  </si>
  <si>
    <t xml:space="preserve">tb/sequences/csr_ops/csr_write_imm_seq.sv</t>
  </si>
  <si>
    <t xml:space="preserve">TC_CSR_003</t>
  </si>
  <si>
    <t xml:space="preserve">CSR write, register form.</t>
  </si>
  <si>
    <t xml:space="preserve">ap.csr_write=1; ap.csr_imm=0; a_in=0x33334444</t>
  </si>
  <si>
    <t xml:space="preserve">result=0x33334444; error=0</t>
  </si>
  <si>
    <t xml:space="preserve">CSR x write-reg</t>
  </si>
  <si>
    <t xml:space="preserve">tb/sequences/csr_ops/csr_write_reg_seq.sv</t>
  </si>
  <si>
    <t xml:space="preserve">TC_CSR_004</t>
  </si>
  <si>
    <t xml:space="preserve">§5 Chip-wide error</t>
  </si>
  <si>
    <t xml:space="preserve">Chip-wide conflict: CSR read requested simultaneously with a bit-manip op (representative case, not repeated per operation).</t>
  </si>
  <si>
    <t xml:space="preserve">csr_ren_in=1; ap.lor=1</t>
  </si>
  <si>
    <t xml:space="preserve">Chip-wide x CSR-conflict</t>
  </si>
  <si>
    <t xml:space="preserve">tb/sequences/csr_ops/csr_bitmanip_conflict_seq.sv</t>
  </si>
  <si>
    <t xml:space="preserve">TC_TIME_001</t>
  </si>
  <si>
    <t xml:space="preserve">§3.1 Latency</t>
  </si>
  <si>
    <t xml:space="preserve">Confirms 1-cycle latency: result_ff updates the cycle after valid_in, not the same cycle.</t>
  </si>
  <si>
    <t xml:space="preserve">valid_in=1 at cycle N with a valid OR request; sample result_ff at N and N+1</t>
  </si>
  <si>
    <t xml:space="preserve">result_ff unchanged at N; updated result visible at N+1; error=0</t>
  </si>
  <si>
    <t xml:space="preserve">Timing x latency</t>
  </si>
  <si>
    <t xml:space="preserve">tb/sequences/reset_ops/latency_check_seq.sv</t>
  </si>
  <si>
    <t xml:space="preserve">TC_TIME_002</t>
  </si>
  <si>
    <t xml:space="preserve">§3.2 valid_in gating</t>
  </si>
  <si>
    <t xml:space="preserve">Confirms result_ff holds when valid_in=0, while error stays live.</t>
  </si>
  <si>
    <t xml:space="preserve">Drive a valid op with valid_in=1, then valid_in=0 with changing/garbage ap fields</t>
  </si>
  <si>
    <t xml:space="preserve">result_ff holds prior value; error reflects the live (garbage) inputs each cycle</t>
  </si>
  <si>
    <t xml:space="preserve">Timing x valid_in=0-hold</t>
  </si>
  <si>
    <t xml:space="preserve">tb/sequences/reset_ops/valid_in_hold_seq.sv</t>
  </si>
  <si>
    <t xml:space="preserve">TC_TIME_003</t>
  </si>
  <si>
    <t xml:space="preserve">§3.2 Back-to-back valid</t>
  </si>
  <si>
    <t xml:space="preserve">Confirms correct pipelining with valid_in=1 every cycle, different op each cycle.</t>
  </si>
  <si>
    <t xml:space="preserve">valid_in=1 for 3 consecutive cycles, OR then XOR then SRL</t>
  </si>
  <si>
    <t xml:space="preserve">result_ff shows each op's result exactly one cycle after its inputs; error=0 throughout</t>
  </si>
  <si>
    <t xml:space="preserve">Timing x back-to-back</t>
  </si>
  <si>
    <t xml:space="preserve">tb/sequences/reset_ops/back_to_back_seq.sv</t>
  </si>
  <si>
    <t xml:space="preserve">TC_RST_001</t>
  </si>
  <si>
    <t xml:space="preserve">§3.3 Reset</t>
  </si>
  <si>
    <t xml:space="preserve">Confirms synchronous reset clears both outputs.</t>
  </si>
  <si>
    <t xml:space="preserve">Drive a valid non-zero result, then assert rst_l=0 for one cycle</t>
  </si>
  <si>
    <t xml:space="preserve">result_ff=0; error=0 immediately after reset</t>
  </si>
  <si>
    <t xml:space="preserve">Reset x clear</t>
  </si>
  <si>
    <t xml:space="preserve">tb/sequences/reset_ops/reset_clear_seq.sv</t>
  </si>
  <si>
    <t xml:space="preserve">TC_RST_002</t>
  </si>
  <si>
    <t xml:space="preserve">Reset asserted while valid_in=1 — reset must win.</t>
  </si>
  <si>
    <t xml:space="preserve">rst_l=0 and valid_in=1 simultaneously with a valid op driven</t>
  </si>
  <si>
    <t xml:space="preserve">result_ff=0; error=0 (reset overrides the concurrent valid operation)</t>
  </si>
  <si>
    <t xml:space="preserve">Reset x mid-operation</t>
  </si>
  <si>
    <t xml:space="preserve">tb/sequences/reset_ops/reset_mid_op_seq.sv</t>
  </si>
  <si>
    <t xml:space="preserve">TC_SCAN_001</t>
  </si>
  <si>
    <t xml:space="preserve">§3.4 scan_mode</t>
  </si>
  <si>
    <t xml:space="preserve">Confirms scan_mode has no functional effect when toggled during normal operation.</t>
  </si>
  <si>
    <t xml:space="preserve">Toggle scan_mode 0-&gt;1-&gt;0 while driving a repeated valid OR operation</t>
  </si>
  <si>
    <t xml:space="preserve">result_ff and error unaffected by scan_mode transitions</t>
  </si>
  <si>
    <t xml:space="preserve">Reset x scan_mode-inert</t>
  </si>
  <si>
    <t xml:space="preserve">tb/sequences/reset_ops/scan_mode_seq.sv</t>
  </si>
  <si>
    <t xml:space="preserve">TC_RAND_001</t>
  </si>
  <si>
    <t xml:space="preserve">All operations</t>
  </si>
  <si>
    <t xml:space="preserve">Constrained-random: legal single-operation encodings across the full operand range, for every documented operation.</t>
  </si>
  <si>
    <t xml:space="preserve">Randomize a_in, b_in fully; randomize exactly one legal ap.* field per transaction; N=[TBD] iterations</t>
  </si>
  <si>
    <t xml:space="preserve">Reference-model match on result_ff and error every transaction</t>
  </si>
  <si>
    <t xml:space="preserve">Cross: operation x operand-range</t>
  </si>
  <si>
    <t xml:space="preserve">tb/sequences/base/random_legal_seq.sv</t>
  </si>
  <si>
    <t xml:space="preserve">TC_RAND_002</t>
  </si>
  <si>
    <t xml:space="preserve">Constrained-random weighted toward corner values (0, all-1s, max shift/bit-index amounts).</t>
  </si>
  <si>
    <t xml:space="preserve">Weighted randomization favoring 0x00000000, 0xFFFFFFFF, and shift/index boundary values</t>
  </si>
  <si>
    <t xml:space="preserve">Reference-model match every transaction; closes remaining corner-case coverage bins</t>
  </si>
  <si>
    <t xml:space="preserve">Cross: operation x corner-weighted</t>
  </si>
  <si>
    <t xml:space="preserve">tb/sequences/base/random_corner_weighted_seq.sv</t>
  </si>
  <si>
    <t xml:space="preserve">TC_RAND_003</t>
  </si>
  <si>
    <t xml:space="preserve">Constrained-random illegal/conflicting ap field combinations — error-path stress.</t>
  </si>
  <si>
    <t xml:space="preserve">Randomize 2+ simultaneous ap.* fields and/or csr_ren_in with a bit-manip field</t>
  </si>
  <si>
    <t xml:space="preserve">result_ff=0 and error=1 on every illegal combination generated</t>
  </si>
  <si>
    <t xml:space="preserve">Cross: guard-violation x random-combinations</t>
  </si>
  <si>
    <t xml:space="preserve">tb/sequences/error_injection/random_error_seq.sv</t>
  </si>
  <si>
    <t xml:space="preserve">TC_TBD_001</t>
  </si>
  <si>
    <t xml:space="preserve">§8 ap.min/ap.clz/ap.rol</t>
  </si>
  <si>
    <t xml:space="preserve">BLOCKED: fields are functionally active in RTL but have no behavior specification. No expected value can be written until the design team confirms scope.</t>
  </si>
  <si>
    <t xml:space="preserve">N/A — blocked</t>
  </si>
  <si>
    <t xml:space="preserve">BLOCKED — pending Specification §8 / clarification log resolution</t>
  </si>
  <si>
    <t xml:space="preserve">N/A</t>
  </si>
  <si>
    <t xml:space="preserve">See CLARIF, Verification Plan Risk R-3</t>
  </si>
  <si>
    <t xml:space="preserve">TC_TBD_002</t>
  </si>
  <si>
    <t xml:space="preserve">§8 ap.bset/ap.bclr</t>
  </si>
  <si>
    <t xml:space="preserve">BLOCKED: same reason as TC_TBD_001.</t>
  </si>
  <si>
    <t xml:space="preserve">BLOCKED — pending clarification</t>
  </si>
  <si>
    <t xml:space="preserve">See Verification Plan Risk R-3</t>
  </si>
  <si>
    <t xml:space="preserve">TC_TBD_003</t>
  </si>
  <si>
    <t xml:space="preserve">§8 ap.packu/ap.packh/ap.gorc</t>
  </si>
  <si>
    <t xml:space="preserve">BMU Test Plan — How to Read This Workbook</t>
  </si>
  <si>
    <t xml:space="preserve">Purpose</t>
  </si>
  <si>
    <t xml:space="preserve">Walk-through-ready test case list for the BMU verification project. Each row is one test case: what it exercises, the stimulus, the expected result, and its live status. Update the Status column as you go — it is the project's single source of truth for progress.</t>
  </si>
  <si>
    <t xml:space="preserve">Column</t>
  </si>
  <si>
    <t xml:space="preserve">Meaning</t>
  </si>
  <si>
    <t xml:space="preserve">Unique identifier, grouped by operation/category prefix (e.g. TC_OR_001). Referenced from bug reports and the clarifications log.</t>
  </si>
  <si>
    <t xml:space="preserve">The BMU Specification v1.2 section this test targets.</t>
  </si>
  <si>
    <t xml:space="preserve">Directed-Valid / Directed-Corner / Directed-Error / Timing / Reset / CSR / Random / Scope-TBD. See 'Category meanings' below.</t>
  </si>
  <si>
    <t xml:space="preserve">High = blocks sign-off if failing. Medium = important, not blocking. Low = nice-to-have / cleanup.</t>
  </si>
  <si>
    <t xml:space="preserve">What functionality is being exercised and why this case matters — written so a reviewer doesn't need the spec open to understand it.</t>
  </si>
  <si>
    <t xml:space="preserve">The control-field and operand values applied (abbreviated; full values live in the sequence source).</t>
  </si>
  <si>
    <t xml:space="preserve">result_ff / error expected, per BMU Specification v1.2 (or explicitly marked ASSUMPTION where Section 7 applies).</t>
  </si>
  <si>
    <t xml:space="preserve">The functional coverage bin this test is expected to close, per the Verification Plan §4.2.</t>
  </si>
  <si>
    <t xml:space="preserve">Planned tb/sequences/ file implementing this test (naming matches the repo structure).</t>
  </si>
  <si>
    <t xml:space="preserve">Not Started / In Progress / Passing / Failing / Blocked. Keep this current — the Summary sheet totals it live.</t>
  </si>
  <si>
    <t xml:space="preserve">Anything a reader needs that doesn't fit elsewhere — bug IDs, clarification-log references, waiver reasons.</t>
  </si>
  <si>
    <t xml:space="preserve">Category meanings</t>
  </si>
  <si>
    <t xml:space="preserve">Nominal, spec-correct stimulus — confirms the operation produces the right result under normal conditions.</t>
  </si>
  <si>
    <t xml:space="preserve">Boundary/edge operand values (0, all-1s, sign boundary, max shift amount, etc.) chosen because random stimulus finds them rarely.</t>
  </si>
  <si>
    <t xml:space="preserve">Deliberate guard-condition violation — confirms result is forced to 0 and error=1 as specified.</t>
  </si>
  <si>
    <t xml:space="preserve">Cycle-accurate latency / valid_in-gating behavior (Specification §3).</t>
  </si>
  <si>
    <t xml:space="preserve">Reset behavior, including mid-operation reset.</t>
  </si>
  <si>
    <t xml:space="preserve">CSR bypass-read and CSR-write behavior, and the CSR-conflict chip-wide error condition.</t>
  </si>
  <si>
    <t xml:space="preserve">Constrained-random regression — broad confidence beyond the directed list.</t>
  </si>
  <si>
    <t xml:space="preserve">Control-struct fields with no behavior specification (Specification §8). Not testable until the design team confirms scope — tracked, not fabricated.</t>
  </si>
  <si>
    <t xml:space="preserve">Related documents</t>
  </si>
  <si>
    <t xml:space="preserve">BMU_Specification_v1.2.docx (behavior source of truth) · BMU_Verification_Plan.docx (strategy/coverage goals) · spec_clarifications_log.md (open questions referenced by ASSUMPTION-tagged rows).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</si>
</sst>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%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name val="Calibri"/>
      <family val="0"/>
      <charset val="1"/>
    </font>
    <font>
      <i val="true"/>
      <sz val="10"/>
      <name val="Calibri"/>
      <family val="0"/>
      <charset val="1"/>
    </font>
    <font>
      <b val="true"/>
      <sz val="11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sz val="10"/>
      <name val="Calibri"/>
      <family val="0"/>
      <charset val="1"/>
    </font>
    <font>
      <b val="true"/>
      <sz val="10"/>
      <name val="Calibri"/>
      <family val="0"/>
      <charset val="1"/>
    </font>
    <font>
      <b val="true"/>
      <u val="single"/>
      <sz val="12"/>
      <name val="Calibri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2937"/>
        <bgColor rgb="FF3333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8">
    <dxf>
      <fill>
        <patternFill patternType="solid">
          <fgColor rgb="FF1F2937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D9D9D9"/>
        </patternFill>
      </fill>
    </dxf>
    <dxf>
      <fill>
        <patternFill>
          <bgColor rgb="FFFFEB9C"/>
        </patternFill>
      </fill>
    </dxf>
    <dxf>
      <fill>
        <patternFill>
          <bgColor rgb="FFFFFFFF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293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1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6"/>
    <col collapsed="false" customWidth="true" hidden="false" outlineLevel="0" max="2" min="2" style="1" width="14"/>
    <col collapsed="false" customWidth="true" hidden="false" outlineLevel="0" max="4" min="4" style="1" width="26"/>
    <col collapsed="false" customWidth="true" hidden="false" outlineLevel="0" max="5" min="5" style="1" width="14"/>
  </cols>
  <sheetData>
    <row r="1" customFormat="false" ht="19.5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</v>
      </c>
    </row>
    <row r="4" customFormat="false" ht="15" hidden="false" customHeight="true" outlineLevel="0" collapsed="false">
      <c r="A4" s="4" t="s">
        <v>2</v>
      </c>
      <c r="B4" s="4" t="n">
        <f aca="false">COUNTA(Test_Plan!A2:A65)</f>
        <v>64</v>
      </c>
    </row>
    <row r="6" customFormat="false" ht="15" hidden="false" customHeight="true" outlineLevel="0" collapsed="false">
      <c r="A6" s="5" t="s">
        <v>3</v>
      </c>
      <c r="B6" s="5" t="s">
        <v>4</v>
      </c>
      <c r="D6" s="5" t="s">
        <v>5</v>
      </c>
      <c r="E6" s="5" t="s">
        <v>4</v>
      </c>
    </row>
    <row r="7" customFormat="false" ht="15" hidden="false" customHeight="true" outlineLevel="0" collapsed="false">
      <c r="A7" s="6" t="s">
        <v>6</v>
      </c>
      <c r="B7" s="6" t="n">
        <f aca="false">COUNTIF(Test_Plan!$J$2:$J$65,A7)</f>
        <v>64</v>
      </c>
      <c r="D7" s="6" t="s">
        <v>7</v>
      </c>
      <c r="E7" s="6" t="n">
        <f aca="false">COUNTIF(Test_Plan!$C$2:$C$65,D7)</f>
        <v>19</v>
      </c>
    </row>
    <row r="8" customFormat="false" ht="15" hidden="false" customHeight="true" outlineLevel="0" collapsed="false">
      <c r="A8" s="6" t="s">
        <v>8</v>
      </c>
      <c r="B8" s="6" t="n">
        <f aca="false">COUNTIF(Test_Plan!$J$2:$J$65,A8)</f>
        <v>0</v>
      </c>
      <c r="D8" s="6" t="s">
        <v>9</v>
      </c>
      <c r="E8" s="6" t="n">
        <f aca="false">COUNTIF(Test_Plan!$C$2:$C$65,D8)</f>
        <v>12</v>
      </c>
    </row>
    <row r="9" customFormat="false" ht="15" hidden="false" customHeight="true" outlineLevel="0" collapsed="false">
      <c r="A9" s="6" t="s">
        <v>10</v>
      </c>
      <c r="B9" s="6" t="n">
        <f aca="false">COUNTIF(Test_Plan!$J$2:$J$65,A9)</f>
        <v>0</v>
      </c>
      <c r="D9" s="6" t="s">
        <v>11</v>
      </c>
      <c r="E9" s="6" t="n">
        <f aca="false">COUNTIF(Test_Plan!$C$2:$C$65,D9)</f>
        <v>17</v>
      </c>
    </row>
    <row r="10" customFormat="false" ht="15" hidden="false" customHeight="true" outlineLevel="0" collapsed="false">
      <c r="A10" s="6" t="s">
        <v>12</v>
      </c>
      <c r="B10" s="6" t="n">
        <f aca="false">COUNTIF(Test_Plan!$J$2:$J$65,A10)</f>
        <v>0</v>
      </c>
      <c r="D10" s="6" t="s">
        <v>13</v>
      </c>
      <c r="E10" s="6" t="n">
        <f aca="false">COUNTIF(Test_Plan!$C$2:$C$65,D10)</f>
        <v>3</v>
      </c>
    </row>
    <row r="11" customFormat="false" ht="15" hidden="false" customHeight="true" outlineLevel="0" collapsed="false">
      <c r="A11" s="6" t="s">
        <v>14</v>
      </c>
      <c r="B11" s="6" t="n">
        <f aca="false">COUNTIF(Test_Plan!$J$2:$J$65,A11)</f>
        <v>0</v>
      </c>
      <c r="D11" s="6" t="s">
        <v>15</v>
      </c>
      <c r="E11" s="6" t="n">
        <f aca="false">COUNTIF(Test_Plan!$C$2:$C$65,D11)</f>
        <v>3</v>
      </c>
    </row>
    <row r="12" customFormat="false" ht="15" hidden="false" customHeight="true" outlineLevel="0" collapsed="false">
      <c r="A12" s="4" t="s">
        <v>16</v>
      </c>
      <c r="B12" s="7" t="n">
        <f aca="false">IFERROR(COUNTIF(Test_Plan!$J$2:$J$65,"Passing")/B4,0)</f>
        <v>0</v>
      </c>
      <c r="D12" s="6" t="s">
        <v>17</v>
      </c>
      <c r="E12" s="6" t="n">
        <f aca="false">COUNTIF(Test_Plan!$C$2:$C$65,D12)</f>
        <v>4</v>
      </c>
    </row>
    <row r="13" customFormat="false" ht="15" hidden="false" customHeight="true" outlineLevel="0" collapsed="false">
      <c r="D13" s="6" t="s">
        <v>18</v>
      </c>
      <c r="E13" s="6" t="n">
        <f aca="false">COUNTIF(Test_Plan!$C$2:$C$65,D13)</f>
        <v>3</v>
      </c>
    </row>
    <row r="14" customFormat="false" ht="15" hidden="false" customHeight="true" outlineLevel="0" collapsed="false">
      <c r="D14" s="6" t="s">
        <v>19</v>
      </c>
      <c r="E14" s="6" t="n">
        <f aca="false">COUNTIF(Test_Plan!$C$2:$C$65,D14)</f>
        <v>3</v>
      </c>
    </row>
    <row r="15" customFormat="false" ht="15" hidden="false" customHeight="true" outlineLevel="0" collapsed="false">
      <c r="A15" s="4" t="s">
        <v>20</v>
      </c>
    </row>
    <row r="16" customFormat="false" ht="15" hidden="false" customHeight="true" outlineLevel="0" collapsed="false">
      <c r="A16" s="6" t="s">
        <v>21</v>
      </c>
      <c r="B16" s="6" t="n">
        <f aca="false">COUNTIFS(Test_Plan!$D$2:$D$65,"High",Test_Plan!$J$2:$J$65,"&lt;&gt;Passing")</f>
        <v>29</v>
      </c>
      <c r="D16" s="5" t="s">
        <v>22</v>
      </c>
      <c r="E16" s="5" t="s">
        <v>4</v>
      </c>
    </row>
    <row r="17" customFormat="false" ht="15" hidden="false" customHeight="true" outlineLevel="0" collapsed="false">
      <c r="A17" s="6" t="s">
        <v>23</v>
      </c>
      <c r="B17" s="6" t="n">
        <f aca="false">COUNTIF(Test_Plan!$J$2:$J$65,"Failing")+COUNTIF(Test_Plan!$J$2:$J$65,"Blocked")</f>
        <v>0</v>
      </c>
      <c r="D17" s="6" t="s">
        <v>24</v>
      </c>
      <c r="E17" s="6" t="n">
        <f aca="false">COUNTIF(Test_Plan!$D$2:$D$65,D17)</f>
        <v>29</v>
      </c>
    </row>
    <row r="18" customFormat="false" ht="15" hidden="false" customHeight="true" outlineLevel="0" collapsed="false">
      <c r="D18" s="6" t="s">
        <v>25</v>
      </c>
      <c r="E18" s="6" t="n">
        <f aca="false">COUNTIF(Test_Plan!$D$2:$D$65,D18)</f>
        <v>28</v>
      </c>
    </row>
    <row r="19" customFormat="false" ht="15" hidden="false" customHeight="true" outlineLevel="0" collapsed="false">
      <c r="D19" s="6" t="s">
        <v>26</v>
      </c>
      <c r="E19" s="6" t="n">
        <f aca="false">COUNTIF(Test_Plan!$D$2:$D$65,D19)</f>
        <v>7</v>
      </c>
    </row>
  </sheetData>
  <printOptions headings="false" gridLines="false" gridLinesSet="true" horizontalCentered="false" verticalCentered="false"/>
  <pageMargins left="0.4" right="0.4" top="0.5" bottom="0.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K6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22"/>
    <col collapsed="false" customWidth="true" hidden="false" outlineLevel="0" max="3" min="3" style="1" width="15"/>
    <col collapsed="false" customWidth="true" hidden="false" outlineLevel="0" max="4" min="4" style="1" width="10"/>
    <col collapsed="false" customWidth="true" hidden="false" outlineLevel="0" max="5" min="5" style="1" width="42"/>
    <col collapsed="false" customWidth="true" hidden="false" outlineLevel="0" max="7" min="6" style="1" width="34"/>
    <col collapsed="false" customWidth="true" hidden="false" outlineLevel="0" max="8" min="8" style="1" width="22"/>
    <col collapsed="false" customWidth="true" hidden="false" outlineLevel="0" max="9" min="9" style="1" width="30"/>
    <col collapsed="false" customWidth="true" hidden="false" outlineLevel="0" max="10" min="10" style="1" width="14"/>
    <col collapsed="false" customWidth="true" hidden="false" outlineLevel="0" max="11" min="11" style="1" width="26"/>
  </cols>
  <sheetData>
    <row r="1" customFormat="false" ht="15" hidden="false" customHeight="true" outlineLevel="0" collapsed="false">
      <c r="A1" s="8" t="s">
        <v>27</v>
      </c>
      <c r="B1" s="8" t="s">
        <v>28</v>
      </c>
      <c r="C1" s="8" t="s">
        <v>29</v>
      </c>
      <c r="D1" s="8" t="s">
        <v>30</v>
      </c>
      <c r="E1" s="8" t="s">
        <v>31</v>
      </c>
      <c r="F1" s="8" t="s">
        <v>32</v>
      </c>
      <c r="G1" s="8" t="s">
        <v>33</v>
      </c>
      <c r="H1" s="8" t="s">
        <v>34</v>
      </c>
      <c r="I1" s="8" t="s">
        <v>35</v>
      </c>
      <c r="J1" s="8" t="s">
        <v>36</v>
      </c>
      <c r="K1" s="8" t="s">
        <v>37</v>
      </c>
    </row>
    <row r="2" customFormat="false" ht="23.25" hidden="false" customHeight="true" outlineLevel="0" collapsed="false">
      <c r="A2" s="9" t="s">
        <v>38</v>
      </c>
      <c r="B2" s="10" t="s">
        <v>39</v>
      </c>
      <c r="C2" s="9" t="s">
        <v>7</v>
      </c>
      <c r="D2" s="9" t="s">
        <v>24</v>
      </c>
      <c r="E2" s="10" t="s">
        <v>40</v>
      </c>
      <c r="F2" s="10" t="s">
        <v>41</v>
      </c>
      <c r="G2" s="10" t="s">
        <v>42</v>
      </c>
      <c r="H2" s="10" t="s">
        <v>43</v>
      </c>
      <c r="I2" s="10" t="s">
        <v>44</v>
      </c>
      <c r="J2" s="9" t="s">
        <v>6</v>
      </c>
      <c r="K2" s="10"/>
    </row>
    <row r="3" customFormat="false" ht="23.25" hidden="false" customHeight="true" outlineLevel="0" collapsed="false">
      <c r="A3" s="9" t="s">
        <v>45</v>
      </c>
      <c r="B3" s="10" t="s">
        <v>39</v>
      </c>
      <c r="C3" s="9" t="s">
        <v>7</v>
      </c>
      <c r="D3" s="9" t="s">
        <v>24</v>
      </c>
      <c r="E3" s="10" t="s">
        <v>46</v>
      </c>
      <c r="F3" s="10" t="s">
        <v>47</v>
      </c>
      <c r="G3" s="10" t="s">
        <v>42</v>
      </c>
      <c r="H3" s="10" t="s">
        <v>48</v>
      </c>
      <c r="I3" s="10" t="s">
        <v>49</v>
      </c>
      <c r="J3" s="9" t="s">
        <v>6</v>
      </c>
      <c r="K3" s="10"/>
    </row>
    <row r="4" customFormat="false" ht="23.25" hidden="false" customHeight="true" outlineLevel="0" collapsed="false">
      <c r="A4" s="9" t="s">
        <v>50</v>
      </c>
      <c r="B4" s="10" t="s">
        <v>39</v>
      </c>
      <c r="C4" s="9" t="s">
        <v>11</v>
      </c>
      <c r="D4" s="9" t="s">
        <v>24</v>
      </c>
      <c r="E4" s="10" t="s">
        <v>51</v>
      </c>
      <c r="F4" s="10" t="s">
        <v>52</v>
      </c>
      <c r="G4" s="10" t="s">
        <v>53</v>
      </c>
      <c r="H4" s="10" t="s">
        <v>54</v>
      </c>
      <c r="I4" s="10" t="s">
        <v>55</v>
      </c>
      <c r="J4" s="9" t="s">
        <v>6</v>
      </c>
      <c r="K4" s="10"/>
    </row>
    <row r="5" customFormat="false" ht="23.25" hidden="false" customHeight="true" outlineLevel="0" collapsed="false">
      <c r="A5" s="9" t="s">
        <v>56</v>
      </c>
      <c r="B5" s="10" t="s">
        <v>57</v>
      </c>
      <c r="C5" s="9" t="s">
        <v>7</v>
      </c>
      <c r="D5" s="9" t="s">
        <v>24</v>
      </c>
      <c r="E5" s="10" t="s">
        <v>58</v>
      </c>
      <c r="F5" s="10" t="s">
        <v>59</v>
      </c>
      <c r="G5" s="10" t="s">
        <v>42</v>
      </c>
      <c r="H5" s="10" t="s">
        <v>60</v>
      </c>
      <c r="I5" s="10" t="s">
        <v>61</v>
      </c>
      <c r="J5" s="9" t="s">
        <v>6</v>
      </c>
      <c r="K5" s="10"/>
    </row>
    <row r="6" customFormat="false" ht="23.25" hidden="false" customHeight="true" outlineLevel="0" collapsed="false">
      <c r="A6" s="9" t="s">
        <v>62</v>
      </c>
      <c r="B6" s="10" t="s">
        <v>57</v>
      </c>
      <c r="C6" s="9" t="s">
        <v>7</v>
      </c>
      <c r="D6" s="9" t="s">
        <v>24</v>
      </c>
      <c r="E6" s="10" t="s">
        <v>63</v>
      </c>
      <c r="F6" s="10" t="s">
        <v>64</v>
      </c>
      <c r="G6" s="10" t="s">
        <v>65</v>
      </c>
      <c r="H6" s="10" t="s">
        <v>66</v>
      </c>
      <c r="I6" s="10" t="s">
        <v>67</v>
      </c>
      <c r="J6" s="9" t="s">
        <v>6</v>
      </c>
      <c r="K6" s="10"/>
    </row>
    <row r="7" customFormat="false" ht="23.25" hidden="false" customHeight="true" outlineLevel="0" collapsed="false">
      <c r="A7" s="9" t="s">
        <v>68</v>
      </c>
      <c r="B7" s="10" t="s">
        <v>57</v>
      </c>
      <c r="C7" s="9" t="s">
        <v>11</v>
      </c>
      <c r="D7" s="9" t="s">
        <v>24</v>
      </c>
      <c r="E7" s="10" t="s">
        <v>69</v>
      </c>
      <c r="F7" s="10" t="s">
        <v>70</v>
      </c>
      <c r="G7" s="10" t="s">
        <v>53</v>
      </c>
      <c r="H7" s="10" t="s">
        <v>71</v>
      </c>
      <c r="I7" s="10" t="s">
        <v>72</v>
      </c>
      <c r="J7" s="9" t="s">
        <v>6</v>
      </c>
      <c r="K7" s="10"/>
    </row>
    <row r="8" customFormat="false" ht="23.25" hidden="false" customHeight="true" outlineLevel="0" collapsed="false">
      <c r="A8" s="9" t="s">
        <v>73</v>
      </c>
      <c r="B8" s="10" t="s">
        <v>74</v>
      </c>
      <c r="C8" s="9" t="s">
        <v>7</v>
      </c>
      <c r="D8" s="9" t="s">
        <v>24</v>
      </c>
      <c r="E8" s="10" t="s">
        <v>75</v>
      </c>
      <c r="F8" s="10" t="s">
        <v>76</v>
      </c>
      <c r="G8" s="10" t="s">
        <v>77</v>
      </c>
      <c r="H8" s="10" t="s">
        <v>78</v>
      </c>
      <c r="I8" s="10" t="s">
        <v>79</v>
      </c>
      <c r="J8" s="9" t="s">
        <v>6</v>
      </c>
      <c r="K8" s="10"/>
    </row>
    <row r="9" customFormat="false" ht="23.25" hidden="false" customHeight="true" outlineLevel="0" collapsed="false">
      <c r="A9" s="9" t="s">
        <v>80</v>
      </c>
      <c r="B9" s="10" t="s">
        <v>74</v>
      </c>
      <c r="C9" s="9" t="s">
        <v>9</v>
      </c>
      <c r="D9" s="9" t="s">
        <v>25</v>
      </c>
      <c r="E9" s="10" t="s">
        <v>81</v>
      </c>
      <c r="F9" s="10" t="s">
        <v>82</v>
      </c>
      <c r="G9" s="10" t="s">
        <v>83</v>
      </c>
      <c r="H9" s="10" t="s">
        <v>84</v>
      </c>
      <c r="I9" s="10" t="s">
        <v>85</v>
      </c>
      <c r="J9" s="9" t="s">
        <v>6</v>
      </c>
      <c r="K9" s="10"/>
    </row>
    <row r="10" customFormat="false" ht="23.25" hidden="false" customHeight="true" outlineLevel="0" collapsed="false">
      <c r="A10" s="9" t="s">
        <v>86</v>
      </c>
      <c r="B10" s="10" t="s">
        <v>74</v>
      </c>
      <c r="C10" s="9" t="s">
        <v>11</v>
      </c>
      <c r="D10" s="9" t="s">
        <v>25</v>
      </c>
      <c r="E10" s="10" t="s">
        <v>87</v>
      </c>
      <c r="F10" s="10" t="s">
        <v>88</v>
      </c>
      <c r="G10" s="10" t="s">
        <v>53</v>
      </c>
      <c r="H10" s="10" t="s">
        <v>89</v>
      </c>
      <c r="I10" s="10" t="s">
        <v>90</v>
      </c>
      <c r="J10" s="9" t="s">
        <v>6</v>
      </c>
      <c r="K10" s="10"/>
    </row>
    <row r="11" customFormat="false" ht="23.25" hidden="false" customHeight="true" outlineLevel="0" collapsed="false">
      <c r="A11" s="9" t="s">
        <v>91</v>
      </c>
      <c r="B11" s="10" t="s">
        <v>92</v>
      </c>
      <c r="C11" s="9" t="s">
        <v>7</v>
      </c>
      <c r="D11" s="9" t="s">
        <v>24</v>
      </c>
      <c r="E11" s="10" t="s">
        <v>93</v>
      </c>
      <c r="F11" s="10" t="s">
        <v>94</v>
      </c>
      <c r="G11" s="10" t="s">
        <v>95</v>
      </c>
      <c r="H11" s="10" t="s">
        <v>96</v>
      </c>
      <c r="I11" s="10" t="s">
        <v>97</v>
      </c>
      <c r="J11" s="9" t="s">
        <v>6</v>
      </c>
      <c r="K11" s="10"/>
    </row>
    <row r="12" customFormat="false" ht="23.25" hidden="false" customHeight="true" outlineLevel="0" collapsed="false">
      <c r="A12" s="9" t="s">
        <v>98</v>
      </c>
      <c r="B12" s="10" t="s">
        <v>92</v>
      </c>
      <c r="C12" s="9" t="s">
        <v>9</v>
      </c>
      <c r="D12" s="9" t="s">
        <v>25</v>
      </c>
      <c r="E12" s="10" t="s">
        <v>99</v>
      </c>
      <c r="F12" s="10" t="s">
        <v>100</v>
      </c>
      <c r="G12" s="10" t="s">
        <v>42</v>
      </c>
      <c r="H12" s="10" t="s">
        <v>101</v>
      </c>
      <c r="I12" s="10" t="s">
        <v>102</v>
      </c>
      <c r="J12" s="9" t="s">
        <v>6</v>
      </c>
      <c r="K12" s="10"/>
    </row>
    <row r="13" customFormat="false" ht="23.25" hidden="false" customHeight="true" outlineLevel="0" collapsed="false">
      <c r="A13" s="9" t="s">
        <v>103</v>
      </c>
      <c r="B13" s="10" t="s">
        <v>92</v>
      </c>
      <c r="C13" s="9" t="s">
        <v>11</v>
      </c>
      <c r="D13" s="9" t="s">
        <v>25</v>
      </c>
      <c r="E13" s="10" t="s">
        <v>104</v>
      </c>
      <c r="F13" s="10" t="s">
        <v>105</v>
      </c>
      <c r="G13" s="10" t="s">
        <v>53</v>
      </c>
      <c r="H13" s="10" t="s">
        <v>106</v>
      </c>
      <c r="I13" s="10" t="s">
        <v>107</v>
      </c>
      <c r="J13" s="9" t="s">
        <v>6</v>
      </c>
      <c r="K13" s="10"/>
    </row>
    <row r="14" customFormat="false" ht="23.25" hidden="false" customHeight="true" outlineLevel="0" collapsed="false">
      <c r="A14" s="9" t="s">
        <v>108</v>
      </c>
      <c r="B14" s="10" t="s">
        <v>109</v>
      </c>
      <c r="C14" s="9" t="s">
        <v>7</v>
      </c>
      <c r="D14" s="9" t="s">
        <v>24</v>
      </c>
      <c r="E14" s="10" t="s">
        <v>110</v>
      </c>
      <c r="F14" s="10" t="s">
        <v>111</v>
      </c>
      <c r="G14" s="10" t="s">
        <v>112</v>
      </c>
      <c r="H14" s="10" t="s">
        <v>113</v>
      </c>
      <c r="I14" s="10" t="s">
        <v>114</v>
      </c>
      <c r="J14" s="9" t="s">
        <v>6</v>
      </c>
      <c r="K14" s="10"/>
    </row>
    <row r="15" customFormat="false" ht="23.25" hidden="false" customHeight="true" outlineLevel="0" collapsed="false">
      <c r="A15" s="9" t="s">
        <v>115</v>
      </c>
      <c r="B15" s="10" t="s">
        <v>109</v>
      </c>
      <c r="C15" s="9" t="s">
        <v>9</v>
      </c>
      <c r="D15" s="9" t="s">
        <v>25</v>
      </c>
      <c r="E15" s="10" t="s">
        <v>116</v>
      </c>
      <c r="F15" s="10" t="s">
        <v>117</v>
      </c>
      <c r="G15" s="10" t="s">
        <v>118</v>
      </c>
      <c r="H15" s="10" t="s">
        <v>119</v>
      </c>
      <c r="I15" s="10" t="s">
        <v>120</v>
      </c>
      <c r="J15" s="9" t="s">
        <v>6</v>
      </c>
      <c r="K15" s="10"/>
    </row>
    <row r="16" customFormat="false" ht="23.25" hidden="false" customHeight="true" outlineLevel="0" collapsed="false">
      <c r="A16" s="9" t="s">
        <v>121</v>
      </c>
      <c r="B16" s="10" t="s">
        <v>109</v>
      </c>
      <c r="C16" s="9" t="s">
        <v>11</v>
      </c>
      <c r="D16" s="9" t="s">
        <v>25</v>
      </c>
      <c r="E16" s="10" t="s">
        <v>122</v>
      </c>
      <c r="F16" s="10" t="s">
        <v>123</v>
      </c>
      <c r="G16" s="10" t="s">
        <v>53</v>
      </c>
      <c r="H16" s="10" t="s">
        <v>124</v>
      </c>
      <c r="I16" s="10" t="s">
        <v>125</v>
      </c>
      <c r="J16" s="9" t="s">
        <v>6</v>
      </c>
      <c r="K16" s="10"/>
    </row>
    <row r="17" customFormat="false" ht="23.25" hidden="false" customHeight="true" outlineLevel="0" collapsed="false">
      <c r="A17" s="9" t="s">
        <v>126</v>
      </c>
      <c r="B17" s="10" t="s">
        <v>127</v>
      </c>
      <c r="C17" s="9" t="s">
        <v>7</v>
      </c>
      <c r="D17" s="9" t="s">
        <v>24</v>
      </c>
      <c r="E17" s="10" t="s">
        <v>128</v>
      </c>
      <c r="F17" s="10" t="s">
        <v>129</v>
      </c>
      <c r="G17" s="10" t="s">
        <v>130</v>
      </c>
      <c r="H17" s="10" t="s">
        <v>131</v>
      </c>
      <c r="I17" s="10" t="s">
        <v>132</v>
      </c>
      <c r="J17" s="9" t="s">
        <v>6</v>
      </c>
      <c r="K17" s="10"/>
    </row>
    <row r="18" customFormat="false" ht="23.25" hidden="false" customHeight="true" outlineLevel="0" collapsed="false">
      <c r="A18" s="9" t="s">
        <v>133</v>
      </c>
      <c r="B18" s="10" t="s">
        <v>127</v>
      </c>
      <c r="C18" s="9" t="s">
        <v>9</v>
      </c>
      <c r="D18" s="9" t="s">
        <v>25</v>
      </c>
      <c r="E18" s="10" t="s">
        <v>134</v>
      </c>
      <c r="F18" s="10" t="s">
        <v>135</v>
      </c>
      <c r="G18" s="10" t="s">
        <v>136</v>
      </c>
      <c r="H18" s="10" t="s">
        <v>137</v>
      </c>
      <c r="I18" s="10" t="s">
        <v>138</v>
      </c>
      <c r="J18" s="9" t="s">
        <v>6</v>
      </c>
      <c r="K18" s="10"/>
    </row>
    <row r="19" customFormat="false" ht="23.25" hidden="false" customHeight="true" outlineLevel="0" collapsed="false">
      <c r="A19" s="9" t="s">
        <v>139</v>
      </c>
      <c r="B19" s="10" t="s">
        <v>127</v>
      </c>
      <c r="C19" s="9" t="s">
        <v>11</v>
      </c>
      <c r="D19" s="9" t="s">
        <v>25</v>
      </c>
      <c r="E19" s="10" t="s">
        <v>140</v>
      </c>
      <c r="F19" s="10" t="s">
        <v>141</v>
      </c>
      <c r="G19" s="10" t="s">
        <v>53</v>
      </c>
      <c r="H19" s="10" t="s">
        <v>142</v>
      </c>
      <c r="I19" s="10" t="s">
        <v>143</v>
      </c>
      <c r="J19" s="9" t="s">
        <v>6</v>
      </c>
      <c r="K19" s="10"/>
    </row>
    <row r="20" customFormat="false" ht="23.25" hidden="false" customHeight="true" outlineLevel="0" collapsed="false">
      <c r="A20" s="9" t="s">
        <v>144</v>
      </c>
      <c r="B20" s="10" t="s">
        <v>145</v>
      </c>
      <c r="C20" s="9" t="s">
        <v>7</v>
      </c>
      <c r="D20" s="9" t="s">
        <v>24</v>
      </c>
      <c r="E20" s="10" t="s">
        <v>146</v>
      </c>
      <c r="F20" s="10" t="s">
        <v>147</v>
      </c>
      <c r="G20" s="10" t="s">
        <v>148</v>
      </c>
      <c r="H20" s="10" t="s">
        <v>149</v>
      </c>
      <c r="I20" s="10" t="s">
        <v>150</v>
      </c>
      <c r="J20" s="9" t="s">
        <v>6</v>
      </c>
      <c r="K20" s="10"/>
    </row>
    <row r="21" customFormat="false" ht="23.25" hidden="false" customHeight="true" outlineLevel="0" collapsed="false">
      <c r="A21" s="9" t="s">
        <v>151</v>
      </c>
      <c r="B21" s="10" t="s">
        <v>145</v>
      </c>
      <c r="C21" s="9" t="s">
        <v>11</v>
      </c>
      <c r="D21" s="9" t="s">
        <v>24</v>
      </c>
      <c r="E21" s="10" t="s">
        <v>152</v>
      </c>
      <c r="F21" s="10" t="s">
        <v>153</v>
      </c>
      <c r="G21" s="10" t="s">
        <v>53</v>
      </c>
      <c r="H21" s="10" t="s">
        <v>154</v>
      </c>
      <c r="I21" s="10" t="s">
        <v>155</v>
      </c>
      <c r="J21" s="9" t="s">
        <v>6</v>
      </c>
      <c r="K21" s="10"/>
    </row>
    <row r="22" customFormat="false" ht="23.25" hidden="false" customHeight="true" outlineLevel="0" collapsed="false">
      <c r="A22" s="9" t="s">
        <v>156</v>
      </c>
      <c r="B22" s="10" t="s">
        <v>145</v>
      </c>
      <c r="C22" s="9" t="s">
        <v>11</v>
      </c>
      <c r="D22" s="9" t="s">
        <v>25</v>
      </c>
      <c r="E22" s="10" t="s">
        <v>157</v>
      </c>
      <c r="F22" s="10" t="s">
        <v>158</v>
      </c>
      <c r="G22" s="10" t="s">
        <v>53</v>
      </c>
      <c r="H22" s="10" t="s">
        <v>159</v>
      </c>
      <c r="I22" s="10" t="s">
        <v>160</v>
      </c>
      <c r="J22" s="9" t="s">
        <v>6</v>
      </c>
      <c r="K22" s="10"/>
    </row>
    <row r="23" customFormat="false" ht="15" hidden="false" customHeight="true" outlineLevel="0" collapsed="false">
      <c r="A23" s="9" t="s">
        <v>161</v>
      </c>
      <c r="B23" s="10" t="s">
        <v>162</v>
      </c>
      <c r="C23" s="9" t="s">
        <v>7</v>
      </c>
      <c r="D23" s="9" t="s">
        <v>24</v>
      </c>
      <c r="E23" s="10" t="s">
        <v>163</v>
      </c>
      <c r="F23" s="10" t="s">
        <v>164</v>
      </c>
      <c r="G23" s="10" t="s">
        <v>165</v>
      </c>
      <c r="H23" s="10" t="s">
        <v>166</v>
      </c>
      <c r="I23" s="10" t="s">
        <v>167</v>
      </c>
      <c r="J23" s="9" t="s">
        <v>6</v>
      </c>
      <c r="K23" s="10"/>
    </row>
    <row r="24" customFormat="false" ht="15" hidden="false" customHeight="true" outlineLevel="0" collapsed="false">
      <c r="A24" s="9" t="s">
        <v>168</v>
      </c>
      <c r="B24" s="10" t="s">
        <v>162</v>
      </c>
      <c r="C24" s="9" t="s">
        <v>9</v>
      </c>
      <c r="D24" s="9" t="s">
        <v>25</v>
      </c>
      <c r="E24" s="10" t="s">
        <v>169</v>
      </c>
      <c r="F24" s="10" t="s">
        <v>170</v>
      </c>
      <c r="G24" s="10" t="s">
        <v>42</v>
      </c>
      <c r="H24" s="10" t="s">
        <v>171</v>
      </c>
      <c r="I24" s="10" t="s">
        <v>172</v>
      </c>
      <c r="J24" s="9" t="s">
        <v>6</v>
      </c>
      <c r="K24" s="10"/>
    </row>
    <row r="25" customFormat="false" ht="23.25" hidden="false" customHeight="true" outlineLevel="0" collapsed="false">
      <c r="A25" s="9" t="s">
        <v>173</v>
      </c>
      <c r="B25" s="10" t="s">
        <v>162</v>
      </c>
      <c r="C25" s="9" t="s">
        <v>11</v>
      </c>
      <c r="D25" s="9" t="s">
        <v>24</v>
      </c>
      <c r="E25" s="10" t="s">
        <v>174</v>
      </c>
      <c r="F25" s="10" t="s">
        <v>175</v>
      </c>
      <c r="G25" s="10" t="s">
        <v>53</v>
      </c>
      <c r="H25" s="10" t="s">
        <v>176</v>
      </c>
      <c r="I25" s="10" t="s">
        <v>177</v>
      </c>
      <c r="J25" s="9" t="s">
        <v>6</v>
      </c>
      <c r="K25" s="10"/>
    </row>
    <row r="26" customFormat="false" ht="23.25" hidden="false" customHeight="true" outlineLevel="0" collapsed="false">
      <c r="A26" s="9" t="s">
        <v>178</v>
      </c>
      <c r="B26" s="10" t="s">
        <v>179</v>
      </c>
      <c r="C26" s="9" t="s">
        <v>7</v>
      </c>
      <c r="D26" s="9" t="s">
        <v>24</v>
      </c>
      <c r="E26" s="10" t="s">
        <v>180</v>
      </c>
      <c r="F26" s="10" t="s">
        <v>181</v>
      </c>
      <c r="G26" s="10" t="s">
        <v>182</v>
      </c>
      <c r="H26" s="10" t="s">
        <v>183</v>
      </c>
      <c r="I26" s="10" t="s">
        <v>184</v>
      </c>
      <c r="J26" s="9" t="s">
        <v>6</v>
      </c>
      <c r="K26" s="10"/>
    </row>
    <row r="27" customFormat="false" ht="23.25" hidden="false" customHeight="true" outlineLevel="0" collapsed="false">
      <c r="A27" s="9" t="s">
        <v>185</v>
      </c>
      <c r="B27" s="10" t="s">
        <v>179</v>
      </c>
      <c r="C27" s="9" t="s">
        <v>7</v>
      </c>
      <c r="D27" s="9" t="s">
        <v>24</v>
      </c>
      <c r="E27" s="10" t="s">
        <v>186</v>
      </c>
      <c r="F27" s="10" t="s">
        <v>187</v>
      </c>
      <c r="G27" s="10" t="s">
        <v>188</v>
      </c>
      <c r="H27" s="10" t="s">
        <v>189</v>
      </c>
      <c r="I27" s="10" t="s">
        <v>190</v>
      </c>
      <c r="J27" s="9" t="s">
        <v>6</v>
      </c>
      <c r="K27" s="10"/>
    </row>
    <row r="28" customFormat="false" ht="23.25" hidden="false" customHeight="true" outlineLevel="0" collapsed="false">
      <c r="A28" s="9" t="s">
        <v>191</v>
      </c>
      <c r="B28" s="10" t="s">
        <v>179</v>
      </c>
      <c r="C28" s="9" t="s">
        <v>9</v>
      </c>
      <c r="D28" s="9" t="s">
        <v>25</v>
      </c>
      <c r="E28" s="10" t="s">
        <v>192</v>
      </c>
      <c r="F28" s="10" t="s">
        <v>193</v>
      </c>
      <c r="G28" s="10" t="s">
        <v>194</v>
      </c>
      <c r="H28" s="10" t="s">
        <v>195</v>
      </c>
      <c r="I28" s="10" t="s">
        <v>196</v>
      </c>
      <c r="J28" s="9" t="s">
        <v>6</v>
      </c>
      <c r="K28" s="10"/>
    </row>
    <row r="29" customFormat="false" ht="23.25" hidden="false" customHeight="true" outlineLevel="0" collapsed="false">
      <c r="A29" s="9" t="s">
        <v>197</v>
      </c>
      <c r="B29" s="10" t="s">
        <v>179</v>
      </c>
      <c r="C29" s="9" t="s">
        <v>11</v>
      </c>
      <c r="D29" s="9" t="s">
        <v>25</v>
      </c>
      <c r="E29" s="10" t="s">
        <v>198</v>
      </c>
      <c r="F29" s="10" t="s">
        <v>199</v>
      </c>
      <c r="G29" s="10" t="s">
        <v>53</v>
      </c>
      <c r="H29" s="10" t="s">
        <v>200</v>
      </c>
      <c r="I29" s="10" t="s">
        <v>201</v>
      </c>
      <c r="J29" s="9" t="s">
        <v>6</v>
      </c>
      <c r="K29" s="10"/>
    </row>
    <row r="30" customFormat="false" ht="23.25" hidden="false" customHeight="true" outlineLevel="0" collapsed="false">
      <c r="A30" s="9" t="s">
        <v>202</v>
      </c>
      <c r="B30" s="10" t="s">
        <v>203</v>
      </c>
      <c r="C30" s="9" t="s">
        <v>7</v>
      </c>
      <c r="D30" s="9" t="s">
        <v>24</v>
      </c>
      <c r="E30" s="10" t="s">
        <v>204</v>
      </c>
      <c r="F30" s="10" t="s">
        <v>205</v>
      </c>
      <c r="G30" s="10" t="s">
        <v>206</v>
      </c>
      <c r="H30" s="10" t="s">
        <v>207</v>
      </c>
      <c r="I30" s="10" t="s">
        <v>208</v>
      </c>
      <c r="J30" s="9" t="s">
        <v>6</v>
      </c>
      <c r="K30" s="10"/>
    </row>
    <row r="31" customFormat="false" ht="34.5" hidden="false" customHeight="true" outlineLevel="0" collapsed="false">
      <c r="A31" s="9" t="s">
        <v>209</v>
      </c>
      <c r="B31" s="10" t="s">
        <v>203</v>
      </c>
      <c r="C31" s="9" t="s">
        <v>9</v>
      </c>
      <c r="D31" s="9" t="s">
        <v>24</v>
      </c>
      <c r="E31" s="10" t="s">
        <v>210</v>
      </c>
      <c r="F31" s="10" t="s">
        <v>211</v>
      </c>
      <c r="G31" s="10" t="s">
        <v>212</v>
      </c>
      <c r="H31" s="10" t="s">
        <v>213</v>
      </c>
      <c r="I31" s="10" t="s">
        <v>214</v>
      </c>
      <c r="J31" s="9" t="s">
        <v>6</v>
      </c>
      <c r="K31" s="10" t="s">
        <v>215</v>
      </c>
    </row>
    <row r="32" customFormat="false" ht="23.25" hidden="false" customHeight="true" outlineLevel="0" collapsed="false">
      <c r="A32" s="9" t="s">
        <v>216</v>
      </c>
      <c r="B32" s="10" t="s">
        <v>203</v>
      </c>
      <c r="C32" s="9" t="s">
        <v>9</v>
      </c>
      <c r="D32" s="9" t="s">
        <v>25</v>
      </c>
      <c r="E32" s="10" t="s">
        <v>217</v>
      </c>
      <c r="F32" s="10" t="s">
        <v>218</v>
      </c>
      <c r="G32" s="10" t="s">
        <v>188</v>
      </c>
      <c r="H32" s="10" t="s">
        <v>219</v>
      </c>
      <c r="I32" s="10" t="s">
        <v>220</v>
      </c>
      <c r="J32" s="9" t="s">
        <v>6</v>
      </c>
      <c r="K32" s="10"/>
    </row>
    <row r="33" customFormat="false" ht="23.25" hidden="false" customHeight="true" outlineLevel="0" collapsed="false">
      <c r="A33" s="9" t="s">
        <v>221</v>
      </c>
      <c r="B33" s="10" t="s">
        <v>203</v>
      </c>
      <c r="C33" s="9" t="s">
        <v>11</v>
      </c>
      <c r="D33" s="9" t="s">
        <v>25</v>
      </c>
      <c r="E33" s="10" t="s">
        <v>222</v>
      </c>
      <c r="F33" s="10" t="s">
        <v>223</v>
      </c>
      <c r="G33" s="10" t="s">
        <v>53</v>
      </c>
      <c r="H33" s="10" t="s">
        <v>224</v>
      </c>
      <c r="I33" s="10" t="s">
        <v>225</v>
      </c>
      <c r="J33" s="9" t="s">
        <v>6</v>
      </c>
      <c r="K33" s="10"/>
    </row>
    <row r="34" customFormat="false" ht="23.25" hidden="false" customHeight="true" outlineLevel="0" collapsed="false">
      <c r="A34" s="9" t="s">
        <v>226</v>
      </c>
      <c r="B34" s="10" t="s">
        <v>227</v>
      </c>
      <c r="C34" s="9" t="s">
        <v>7</v>
      </c>
      <c r="D34" s="9" t="s">
        <v>24</v>
      </c>
      <c r="E34" s="10" t="s">
        <v>228</v>
      </c>
      <c r="F34" s="10" t="s">
        <v>229</v>
      </c>
      <c r="G34" s="10" t="s">
        <v>230</v>
      </c>
      <c r="H34" s="10" t="s">
        <v>231</v>
      </c>
      <c r="I34" s="10" t="s">
        <v>232</v>
      </c>
      <c r="J34" s="9" t="s">
        <v>6</v>
      </c>
      <c r="K34" s="10"/>
    </row>
    <row r="35" customFormat="false" ht="23.25" hidden="false" customHeight="true" outlineLevel="0" collapsed="false">
      <c r="A35" s="9" t="s">
        <v>233</v>
      </c>
      <c r="B35" s="10" t="s">
        <v>227</v>
      </c>
      <c r="C35" s="9" t="s">
        <v>9</v>
      </c>
      <c r="D35" s="9" t="s">
        <v>25</v>
      </c>
      <c r="E35" s="10" t="s">
        <v>234</v>
      </c>
      <c r="F35" s="10" t="s">
        <v>235</v>
      </c>
      <c r="G35" s="10" t="s">
        <v>236</v>
      </c>
      <c r="H35" s="10" t="s">
        <v>237</v>
      </c>
      <c r="I35" s="10" t="s">
        <v>238</v>
      </c>
      <c r="J35" s="9" t="s">
        <v>6</v>
      </c>
      <c r="K35" s="10"/>
    </row>
    <row r="36" customFormat="false" ht="23.25" hidden="false" customHeight="true" outlineLevel="0" collapsed="false">
      <c r="A36" s="9" t="s">
        <v>239</v>
      </c>
      <c r="B36" s="10" t="s">
        <v>227</v>
      </c>
      <c r="C36" s="9" t="s">
        <v>11</v>
      </c>
      <c r="D36" s="9" t="s">
        <v>25</v>
      </c>
      <c r="E36" s="10" t="s">
        <v>240</v>
      </c>
      <c r="F36" s="10" t="s">
        <v>241</v>
      </c>
      <c r="G36" s="10" t="s">
        <v>53</v>
      </c>
      <c r="H36" s="10" t="s">
        <v>242</v>
      </c>
      <c r="I36" s="10" t="s">
        <v>243</v>
      </c>
      <c r="J36" s="9" t="s">
        <v>6</v>
      </c>
      <c r="K36" s="10"/>
    </row>
    <row r="37" customFormat="false" ht="23.25" hidden="false" customHeight="true" outlineLevel="0" collapsed="false">
      <c r="A37" s="9" t="s">
        <v>244</v>
      </c>
      <c r="B37" s="10" t="s">
        <v>245</v>
      </c>
      <c r="C37" s="9" t="s">
        <v>7</v>
      </c>
      <c r="D37" s="9" t="s">
        <v>25</v>
      </c>
      <c r="E37" s="10" t="s">
        <v>246</v>
      </c>
      <c r="F37" s="10" t="s">
        <v>247</v>
      </c>
      <c r="G37" s="10" t="s">
        <v>248</v>
      </c>
      <c r="H37" s="10" t="s">
        <v>249</v>
      </c>
      <c r="I37" s="10" t="s">
        <v>250</v>
      </c>
      <c r="J37" s="9" t="s">
        <v>6</v>
      </c>
      <c r="K37" s="10"/>
    </row>
    <row r="38" customFormat="false" ht="23.25" hidden="false" customHeight="true" outlineLevel="0" collapsed="false">
      <c r="A38" s="9" t="s">
        <v>251</v>
      </c>
      <c r="B38" s="10" t="s">
        <v>245</v>
      </c>
      <c r="C38" s="9" t="s">
        <v>9</v>
      </c>
      <c r="D38" s="9" t="s">
        <v>24</v>
      </c>
      <c r="E38" s="10" t="s">
        <v>252</v>
      </c>
      <c r="F38" s="10" t="s">
        <v>253</v>
      </c>
      <c r="G38" s="10" t="s">
        <v>42</v>
      </c>
      <c r="H38" s="10" t="s">
        <v>254</v>
      </c>
      <c r="I38" s="10" t="s">
        <v>255</v>
      </c>
      <c r="J38" s="9" t="s">
        <v>6</v>
      </c>
      <c r="K38" s="10"/>
    </row>
    <row r="39" customFormat="false" ht="23.25" hidden="false" customHeight="true" outlineLevel="0" collapsed="false">
      <c r="A39" s="9" t="s">
        <v>256</v>
      </c>
      <c r="B39" s="10" t="s">
        <v>245</v>
      </c>
      <c r="C39" s="9" t="s">
        <v>11</v>
      </c>
      <c r="D39" s="9" t="s">
        <v>26</v>
      </c>
      <c r="E39" s="10" t="s">
        <v>257</v>
      </c>
      <c r="F39" s="10" t="s">
        <v>258</v>
      </c>
      <c r="G39" s="10" t="s">
        <v>53</v>
      </c>
      <c r="H39" s="10" t="s">
        <v>259</v>
      </c>
      <c r="I39" s="10" t="s">
        <v>260</v>
      </c>
      <c r="J39" s="9" t="s">
        <v>6</v>
      </c>
      <c r="K39" s="10"/>
    </row>
    <row r="40" customFormat="false" ht="23.25" hidden="false" customHeight="true" outlineLevel="0" collapsed="false">
      <c r="A40" s="9" t="s">
        <v>261</v>
      </c>
      <c r="B40" s="10" t="s">
        <v>262</v>
      </c>
      <c r="C40" s="9" t="s">
        <v>7</v>
      </c>
      <c r="D40" s="9" t="s">
        <v>24</v>
      </c>
      <c r="E40" s="10" t="s">
        <v>263</v>
      </c>
      <c r="F40" s="10" t="s">
        <v>264</v>
      </c>
      <c r="G40" s="10" t="s">
        <v>265</v>
      </c>
      <c r="H40" s="10" t="s">
        <v>266</v>
      </c>
      <c r="I40" s="10" t="s">
        <v>267</v>
      </c>
      <c r="J40" s="9" t="s">
        <v>6</v>
      </c>
      <c r="K40" s="10"/>
    </row>
    <row r="41" customFormat="false" ht="23.25" hidden="false" customHeight="true" outlineLevel="0" collapsed="false">
      <c r="A41" s="9" t="s">
        <v>268</v>
      </c>
      <c r="B41" s="10" t="s">
        <v>262</v>
      </c>
      <c r="C41" s="9" t="s">
        <v>7</v>
      </c>
      <c r="D41" s="9" t="s">
        <v>25</v>
      </c>
      <c r="E41" s="10" t="s">
        <v>269</v>
      </c>
      <c r="F41" s="10" t="s">
        <v>270</v>
      </c>
      <c r="G41" s="10" t="s">
        <v>265</v>
      </c>
      <c r="H41" s="10" t="s">
        <v>271</v>
      </c>
      <c r="I41" s="10" t="s">
        <v>272</v>
      </c>
      <c r="J41" s="9" t="s">
        <v>6</v>
      </c>
      <c r="K41" s="10"/>
    </row>
    <row r="42" customFormat="false" ht="23.25" hidden="false" customHeight="true" outlineLevel="0" collapsed="false">
      <c r="A42" s="9" t="s">
        <v>273</v>
      </c>
      <c r="B42" s="10" t="s">
        <v>262</v>
      </c>
      <c r="C42" s="9" t="s">
        <v>9</v>
      </c>
      <c r="D42" s="9" t="s">
        <v>25</v>
      </c>
      <c r="E42" s="10" t="s">
        <v>274</v>
      </c>
      <c r="F42" s="10" t="s">
        <v>275</v>
      </c>
      <c r="G42" s="10" t="s">
        <v>182</v>
      </c>
      <c r="H42" s="10" t="s">
        <v>276</v>
      </c>
      <c r="I42" s="10" t="s">
        <v>277</v>
      </c>
      <c r="J42" s="9" t="s">
        <v>6</v>
      </c>
      <c r="K42" s="10"/>
    </row>
    <row r="43" customFormat="false" ht="23.25" hidden="false" customHeight="true" outlineLevel="0" collapsed="false">
      <c r="A43" s="9" t="s">
        <v>278</v>
      </c>
      <c r="B43" s="10" t="s">
        <v>262</v>
      </c>
      <c r="C43" s="9" t="s">
        <v>11</v>
      </c>
      <c r="D43" s="9" t="s">
        <v>25</v>
      </c>
      <c r="E43" s="10" t="s">
        <v>279</v>
      </c>
      <c r="F43" s="10" t="s">
        <v>280</v>
      </c>
      <c r="G43" s="10" t="s">
        <v>53</v>
      </c>
      <c r="H43" s="10" t="s">
        <v>281</v>
      </c>
      <c r="I43" s="10" t="s">
        <v>282</v>
      </c>
      <c r="J43" s="9" t="s">
        <v>6</v>
      </c>
      <c r="K43" s="10"/>
    </row>
    <row r="44" customFormat="false" ht="23.25" hidden="false" customHeight="true" outlineLevel="0" collapsed="false">
      <c r="A44" s="9" t="s">
        <v>283</v>
      </c>
      <c r="B44" s="10" t="s">
        <v>284</v>
      </c>
      <c r="C44" s="9" t="s">
        <v>7</v>
      </c>
      <c r="D44" s="9" t="s">
        <v>25</v>
      </c>
      <c r="E44" s="10" t="s">
        <v>285</v>
      </c>
      <c r="F44" s="10" t="s">
        <v>286</v>
      </c>
      <c r="G44" s="10" t="s">
        <v>287</v>
      </c>
      <c r="H44" s="10" t="s">
        <v>288</v>
      </c>
      <c r="I44" s="10" t="s">
        <v>289</v>
      </c>
      <c r="J44" s="9" t="s">
        <v>6</v>
      </c>
      <c r="K44" s="10"/>
    </row>
    <row r="45" customFormat="false" ht="23.25" hidden="false" customHeight="true" outlineLevel="0" collapsed="false">
      <c r="A45" s="9" t="s">
        <v>290</v>
      </c>
      <c r="B45" s="10" t="s">
        <v>284</v>
      </c>
      <c r="C45" s="9" t="s">
        <v>9</v>
      </c>
      <c r="D45" s="9" t="s">
        <v>26</v>
      </c>
      <c r="E45" s="10" t="s">
        <v>291</v>
      </c>
      <c r="F45" s="10" t="s">
        <v>292</v>
      </c>
      <c r="G45" s="10" t="s">
        <v>293</v>
      </c>
      <c r="H45" s="10" t="s">
        <v>294</v>
      </c>
      <c r="I45" s="10" t="s">
        <v>295</v>
      </c>
      <c r="J45" s="9" t="s">
        <v>6</v>
      </c>
      <c r="K45" s="10"/>
    </row>
    <row r="46" customFormat="false" ht="23.25" hidden="false" customHeight="true" outlineLevel="0" collapsed="false">
      <c r="A46" s="9" t="s">
        <v>296</v>
      </c>
      <c r="B46" s="10" t="s">
        <v>284</v>
      </c>
      <c r="C46" s="9" t="s">
        <v>11</v>
      </c>
      <c r="D46" s="9" t="s">
        <v>26</v>
      </c>
      <c r="E46" s="10" t="s">
        <v>297</v>
      </c>
      <c r="F46" s="10" t="s">
        <v>298</v>
      </c>
      <c r="G46" s="10" t="s">
        <v>53</v>
      </c>
      <c r="H46" s="10" t="s">
        <v>299</v>
      </c>
      <c r="I46" s="10" t="s">
        <v>300</v>
      </c>
      <c r="J46" s="9" t="s">
        <v>6</v>
      </c>
      <c r="K46" s="10"/>
    </row>
    <row r="47" customFormat="false" ht="23.25" hidden="false" customHeight="true" outlineLevel="0" collapsed="false">
      <c r="A47" s="9" t="s">
        <v>301</v>
      </c>
      <c r="B47" s="10" t="s">
        <v>302</v>
      </c>
      <c r="C47" s="9" t="s">
        <v>7</v>
      </c>
      <c r="D47" s="9" t="s">
        <v>24</v>
      </c>
      <c r="E47" s="10" t="s">
        <v>303</v>
      </c>
      <c r="F47" s="10" t="s">
        <v>304</v>
      </c>
      <c r="G47" s="10" t="s">
        <v>305</v>
      </c>
      <c r="H47" s="10" t="s">
        <v>306</v>
      </c>
      <c r="I47" s="10" t="s">
        <v>307</v>
      </c>
      <c r="J47" s="9" t="s">
        <v>6</v>
      </c>
      <c r="K47" s="10"/>
    </row>
    <row r="48" customFormat="false" ht="23.25" hidden="false" customHeight="true" outlineLevel="0" collapsed="false">
      <c r="A48" s="9" t="s">
        <v>308</v>
      </c>
      <c r="B48" s="10" t="s">
        <v>302</v>
      </c>
      <c r="C48" s="9" t="s">
        <v>11</v>
      </c>
      <c r="D48" s="9" t="s">
        <v>24</v>
      </c>
      <c r="E48" s="10" t="s">
        <v>309</v>
      </c>
      <c r="F48" s="10" t="s">
        <v>310</v>
      </c>
      <c r="G48" s="10" t="s">
        <v>311</v>
      </c>
      <c r="H48" s="10" t="s">
        <v>312</v>
      </c>
      <c r="I48" s="10" t="s">
        <v>313</v>
      </c>
      <c r="J48" s="9" t="s">
        <v>6</v>
      </c>
      <c r="K48" s="10" t="s">
        <v>314</v>
      </c>
    </row>
    <row r="49" customFormat="false" ht="23.25" hidden="false" customHeight="true" outlineLevel="0" collapsed="false">
      <c r="A49" s="9" t="s">
        <v>315</v>
      </c>
      <c r="B49" s="10" t="s">
        <v>302</v>
      </c>
      <c r="C49" s="9" t="s">
        <v>11</v>
      </c>
      <c r="D49" s="9" t="s">
        <v>25</v>
      </c>
      <c r="E49" s="10" t="s">
        <v>316</v>
      </c>
      <c r="F49" s="10" t="s">
        <v>317</v>
      </c>
      <c r="G49" s="10" t="s">
        <v>53</v>
      </c>
      <c r="H49" s="10" t="s">
        <v>318</v>
      </c>
      <c r="I49" s="10" t="s">
        <v>319</v>
      </c>
      <c r="J49" s="9" t="s">
        <v>6</v>
      </c>
      <c r="K49" s="10"/>
    </row>
    <row r="50" customFormat="false" ht="23.25" hidden="false" customHeight="true" outlineLevel="0" collapsed="false">
      <c r="A50" s="9" t="s">
        <v>320</v>
      </c>
      <c r="B50" s="10" t="s">
        <v>321</v>
      </c>
      <c r="C50" s="9" t="s">
        <v>17</v>
      </c>
      <c r="D50" s="9" t="s">
        <v>24</v>
      </c>
      <c r="E50" s="10" t="s">
        <v>322</v>
      </c>
      <c r="F50" s="10" t="s">
        <v>323</v>
      </c>
      <c r="G50" s="10" t="s">
        <v>324</v>
      </c>
      <c r="H50" s="10" t="s">
        <v>325</v>
      </c>
      <c r="I50" s="10" t="s">
        <v>326</v>
      </c>
      <c r="J50" s="9" t="s">
        <v>6</v>
      </c>
      <c r="K50" s="10" t="s">
        <v>327</v>
      </c>
    </row>
    <row r="51" customFormat="false" ht="23.25" hidden="false" customHeight="true" outlineLevel="0" collapsed="false">
      <c r="A51" s="9" t="s">
        <v>328</v>
      </c>
      <c r="B51" s="10" t="s">
        <v>329</v>
      </c>
      <c r="C51" s="9" t="s">
        <v>17</v>
      </c>
      <c r="D51" s="9" t="s">
        <v>25</v>
      </c>
      <c r="E51" s="10" t="s">
        <v>330</v>
      </c>
      <c r="F51" s="10" t="s">
        <v>331</v>
      </c>
      <c r="G51" s="10" t="s">
        <v>332</v>
      </c>
      <c r="H51" s="10" t="s">
        <v>333</v>
      </c>
      <c r="I51" s="10" t="s">
        <v>334</v>
      </c>
      <c r="J51" s="9" t="s">
        <v>6</v>
      </c>
      <c r="K51" s="10"/>
    </row>
    <row r="52" customFormat="false" ht="23.25" hidden="false" customHeight="true" outlineLevel="0" collapsed="false">
      <c r="A52" s="9" t="s">
        <v>335</v>
      </c>
      <c r="B52" s="10" t="s">
        <v>329</v>
      </c>
      <c r="C52" s="9" t="s">
        <v>17</v>
      </c>
      <c r="D52" s="9" t="s">
        <v>25</v>
      </c>
      <c r="E52" s="10" t="s">
        <v>336</v>
      </c>
      <c r="F52" s="10" t="s">
        <v>337</v>
      </c>
      <c r="G52" s="10" t="s">
        <v>338</v>
      </c>
      <c r="H52" s="10" t="s">
        <v>339</v>
      </c>
      <c r="I52" s="10" t="s">
        <v>340</v>
      </c>
      <c r="J52" s="9" t="s">
        <v>6</v>
      </c>
      <c r="K52" s="10"/>
    </row>
    <row r="53" customFormat="false" ht="34.5" hidden="false" customHeight="true" outlineLevel="0" collapsed="false">
      <c r="A53" s="9" t="s">
        <v>341</v>
      </c>
      <c r="B53" s="10" t="s">
        <v>342</v>
      </c>
      <c r="C53" s="9" t="s">
        <v>17</v>
      </c>
      <c r="D53" s="9" t="s">
        <v>24</v>
      </c>
      <c r="E53" s="10" t="s">
        <v>343</v>
      </c>
      <c r="F53" s="10" t="s">
        <v>344</v>
      </c>
      <c r="G53" s="10" t="s">
        <v>53</v>
      </c>
      <c r="H53" s="10" t="s">
        <v>345</v>
      </c>
      <c r="I53" s="10" t="s">
        <v>346</v>
      </c>
      <c r="J53" s="9" t="s">
        <v>6</v>
      </c>
      <c r="K53" s="10"/>
    </row>
    <row r="54" customFormat="false" ht="23.25" hidden="false" customHeight="true" outlineLevel="0" collapsed="false">
      <c r="A54" s="9" t="s">
        <v>347</v>
      </c>
      <c r="B54" s="10" t="s">
        <v>348</v>
      </c>
      <c r="C54" s="9" t="s">
        <v>13</v>
      </c>
      <c r="D54" s="9" t="s">
        <v>24</v>
      </c>
      <c r="E54" s="10" t="s">
        <v>349</v>
      </c>
      <c r="F54" s="10" t="s">
        <v>350</v>
      </c>
      <c r="G54" s="10" t="s">
        <v>351</v>
      </c>
      <c r="H54" s="10" t="s">
        <v>352</v>
      </c>
      <c r="I54" s="10" t="s">
        <v>353</v>
      </c>
      <c r="J54" s="9" t="s">
        <v>6</v>
      </c>
      <c r="K54" s="10"/>
    </row>
    <row r="55" customFormat="false" ht="23.25" hidden="false" customHeight="true" outlineLevel="0" collapsed="false">
      <c r="A55" s="9" t="s">
        <v>354</v>
      </c>
      <c r="B55" s="10" t="s">
        <v>355</v>
      </c>
      <c r="C55" s="9" t="s">
        <v>13</v>
      </c>
      <c r="D55" s="9" t="s">
        <v>24</v>
      </c>
      <c r="E55" s="10" t="s">
        <v>356</v>
      </c>
      <c r="F55" s="10" t="s">
        <v>357</v>
      </c>
      <c r="G55" s="10" t="s">
        <v>358</v>
      </c>
      <c r="H55" s="10" t="s">
        <v>359</v>
      </c>
      <c r="I55" s="10" t="s">
        <v>360</v>
      </c>
      <c r="J55" s="9" t="s">
        <v>6</v>
      </c>
      <c r="K55" s="10"/>
    </row>
    <row r="56" customFormat="false" ht="23.25" hidden="false" customHeight="true" outlineLevel="0" collapsed="false">
      <c r="A56" s="9" t="s">
        <v>361</v>
      </c>
      <c r="B56" s="10" t="s">
        <v>362</v>
      </c>
      <c r="C56" s="9" t="s">
        <v>13</v>
      </c>
      <c r="D56" s="9" t="s">
        <v>25</v>
      </c>
      <c r="E56" s="10" t="s">
        <v>363</v>
      </c>
      <c r="F56" s="10" t="s">
        <v>364</v>
      </c>
      <c r="G56" s="10" t="s">
        <v>365</v>
      </c>
      <c r="H56" s="10" t="s">
        <v>366</v>
      </c>
      <c r="I56" s="10" t="s">
        <v>367</v>
      </c>
      <c r="J56" s="9" t="s">
        <v>6</v>
      </c>
      <c r="K56" s="10"/>
    </row>
    <row r="57" customFormat="false" ht="23.25" hidden="false" customHeight="true" outlineLevel="0" collapsed="false">
      <c r="A57" s="9" t="s">
        <v>368</v>
      </c>
      <c r="B57" s="10" t="s">
        <v>369</v>
      </c>
      <c r="C57" s="9" t="s">
        <v>15</v>
      </c>
      <c r="D57" s="9" t="s">
        <v>24</v>
      </c>
      <c r="E57" s="10" t="s">
        <v>370</v>
      </c>
      <c r="F57" s="10" t="s">
        <v>371</v>
      </c>
      <c r="G57" s="10" t="s">
        <v>372</v>
      </c>
      <c r="H57" s="10" t="s">
        <v>373</v>
      </c>
      <c r="I57" s="10" t="s">
        <v>374</v>
      </c>
      <c r="J57" s="9" t="s">
        <v>6</v>
      </c>
      <c r="K57" s="10"/>
    </row>
    <row r="58" customFormat="false" ht="23.25" hidden="false" customHeight="true" outlineLevel="0" collapsed="false">
      <c r="A58" s="9" t="s">
        <v>375</v>
      </c>
      <c r="B58" s="10" t="s">
        <v>369</v>
      </c>
      <c r="C58" s="9" t="s">
        <v>15</v>
      </c>
      <c r="D58" s="9" t="s">
        <v>25</v>
      </c>
      <c r="E58" s="10" t="s">
        <v>376</v>
      </c>
      <c r="F58" s="10" t="s">
        <v>377</v>
      </c>
      <c r="G58" s="10" t="s">
        <v>378</v>
      </c>
      <c r="H58" s="10" t="s">
        <v>379</v>
      </c>
      <c r="I58" s="10" t="s">
        <v>380</v>
      </c>
      <c r="J58" s="9" t="s">
        <v>6</v>
      </c>
      <c r="K58" s="10"/>
    </row>
    <row r="59" customFormat="false" ht="23.25" hidden="false" customHeight="true" outlineLevel="0" collapsed="false">
      <c r="A59" s="9" t="s">
        <v>381</v>
      </c>
      <c r="B59" s="10" t="s">
        <v>382</v>
      </c>
      <c r="C59" s="9" t="s">
        <v>15</v>
      </c>
      <c r="D59" s="9" t="s">
        <v>26</v>
      </c>
      <c r="E59" s="10" t="s">
        <v>383</v>
      </c>
      <c r="F59" s="10" t="s">
        <v>384</v>
      </c>
      <c r="G59" s="10" t="s">
        <v>385</v>
      </c>
      <c r="H59" s="10" t="s">
        <v>386</v>
      </c>
      <c r="I59" s="10" t="s">
        <v>387</v>
      </c>
      <c r="J59" s="9" t="s">
        <v>6</v>
      </c>
      <c r="K59" s="10"/>
    </row>
    <row r="60" customFormat="false" ht="34.5" hidden="false" customHeight="true" outlineLevel="0" collapsed="false">
      <c r="A60" s="9" t="s">
        <v>388</v>
      </c>
      <c r="B60" s="10" t="s">
        <v>389</v>
      </c>
      <c r="C60" s="9" t="s">
        <v>18</v>
      </c>
      <c r="D60" s="9" t="s">
        <v>24</v>
      </c>
      <c r="E60" s="10" t="s">
        <v>390</v>
      </c>
      <c r="F60" s="10" t="s">
        <v>391</v>
      </c>
      <c r="G60" s="10" t="s">
        <v>392</v>
      </c>
      <c r="H60" s="10" t="s">
        <v>393</v>
      </c>
      <c r="I60" s="10" t="s">
        <v>394</v>
      </c>
      <c r="J60" s="9" t="s">
        <v>6</v>
      </c>
      <c r="K60" s="10"/>
    </row>
    <row r="61" customFormat="false" ht="34.5" hidden="false" customHeight="true" outlineLevel="0" collapsed="false">
      <c r="A61" s="9" t="s">
        <v>395</v>
      </c>
      <c r="B61" s="10" t="s">
        <v>389</v>
      </c>
      <c r="C61" s="9" t="s">
        <v>18</v>
      </c>
      <c r="D61" s="9" t="s">
        <v>25</v>
      </c>
      <c r="E61" s="10" t="s">
        <v>396</v>
      </c>
      <c r="F61" s="10" t="s">
        <v>397</v>
      </c>
      <c r="G61" s="10" t="s">
        <v>398</v>
      </c>
      <c r="H61" s="10" t="s">
        <v>399</v>
      </c>
      <c r="I61" s="10" t="s">
        <v>400</v>
      </c>
      <c r="J61" s="9" t="s">
        <v>6</v>
      </c>
      <c r="K61" s="10"/>
    </row>
    <row r="62" customFormat="false" ht="23.25" hidden="false" customHeight="true" outlineLevel="0" collapsed="false">
      <c r="A62" s="9" t="s">
        <v>401</v>
      </c>
      <c r="B62" s="10" t="s">
        <v>389</v>
      </c>
      <c r="C62" s="9" t="s">
        <v>18</v>
      </c>
      <c r="D62" s="9" t="s">
        <v>25</v>
      </c>
      <c r="E62" s="10" t="s">
        <v>402</v>
      </c>
      <c r="F62" s="10" t="s">
        <v>403</v>
      </c>
      <c r="G62" s="10" t="s">
        <v>404</v>
      </c>
      <c r="H62" s="10" t="s">
        <v>405</v>
      </c>
      <c r="I62" s="10" t="s">
        <v>406</v>
      </c>
      <c r="J62" s="9" t="s">
        <v>6</v>
      </c>
      <c r="K62" s="10"/>
    </row>
    <row r="63" customFormat="false" ht="34.5" hidden="false" customHeight="true" outlineLevel="0" collapsed="false">
      <c r="A63" s="9" t="s">
        <v>407</v>
      </c>
      <c r="B63" s="10" t="s">
        <v>408</v>
      </c>
      <c r="C63" s="9" t="s">
        <v>19</v>
      </c>
      <c r="D63" s="9" t="s">
        <v>26</v>
      </c>
      <c r="E63" s="10" t="s">
        <v>409</v>
      </c>
      <c r="F63" s="10" t="s">
        <v>410</v>
      </c>
      <c r="G63" s="10" t="s">
        <v>411</v>
      </c>
      <c r="H63" s="10" t="s">
        <v>412</v>
      </c>
      <c r="I63" s="10" t="s">
        <v>412</v>
      </c>
      <c r="J63" s="9" t="s">
        <v>6</v>
      </c>
      <c r="K63" s="10" t="s">
        <v>413</v>
      </c>
    </row>
    <row r="64" customFormat="false" ht="15" hidden="false" customHeight="true" outlineLevel="0" collapsed="false">
      <c r="A64" s="9" t="s">
        <v>414</v>
      </c>
      <c r="B64" s="10" t="s">
        <v>415</v>
      </c>
      <c r="C64" s="9" t="s">
        <v>19</v>
      </c>
      <c r="D64" s="9" t="s">
        <v>26</v>
      </c>
      <c r="E64" s="10" t="s">
        <v>416</v>
      </c>
      <c r="F64" s="10" t="s">
        <v>410</v>
      </c>
      <c r="G64" s="10" t="s">
        <v>417</v>
      </c>
      <c r="H64" s="10" t="s">
        <v>412</v>
      </c>
      <c r="I64" s="10" t="s">
        <v>412</v>
      </c>
      <c r="J64" s="9" t="s">
        <v>6</v>
      </c>
      <c r="K64" s="10" t="s">
        <v>418</v>
      </c>
    </row>
    <row r="65" customFormat="false" ht="23.25" hidden="false" customHeight="true" outlineLevel="0" collapsed="false">
      <c r="A65" s="9" t="s">
        <v>419</v>
      </c>
      <c r="B65" s="10" t="s">
        <v>420</v>
      </c>
      <c r="C65" s="9" t="s">
        <v>19</v>
      </c>
      <c r="D65" s="9" t="s">
        <v>26</v>
      </c>
      <c r="E65" s="10" t="s">
        <v>416</v>
      </c>
      <c r="F65" s="10" t="s">
        <v>410</v>
      </c>
      <c r="G65" s="10" t="s">
        <v>417</v>
      </c>
      <c r="H65" s="10" t="s">
        <v>412</v>
      </c>
      <c r="I65" s="10" t="s">
        <v>412</v>
      </c>
      <c r="J65" s="9" t="s">
        <v>6</v>
      </c>
      <c r="K65" s="10" t="s">
        <v>418</v>
      </c>
    </row>
  </sheetData>
  <autoFilter ref="A1:K65"/>
  <conditionalFormatting sqref="J2:J65">
    <cfRule type="cellIs" priority="2" operator="equal" aboveAverage="0" equalAverage="0" bottom="0" percent="0" rank="0" text="" dxfId="3">
      <formula>"Passing"</formula>
    </cfRule>
    <cfRule type="cellIs" priority="3" operator="equal" aboveAverage="0" equalAverage="0" bottom="0" percent="0" rank="0" text="" dxfId="4">
      <formula>"Failing"</formula>
    </cfRule>
    <cfRule type="cellIs" priority="4" operator="equal" aboveAverage="0" equalAverage="0" bottom="0" percent="0" rank="0" text="" dxfId="5">
      <formula>"Blocked"</formula>
    </cfRule>
    <cfRule type="cellIs" priority="5" operator="equal" aboveAverage="0" equalAverage="0" bottom="0" percent="0" rank="0" text="" dxfId="6">
      <formula>"In Progress"</formula>
    </cfRule>
    <cfRule type="cellIs" priority="6" operator="equal" aboveAverage="0" equalAverage="0" bottom="0" percent="0" rank="0" text="" dxfId="7">
      <formula>"Not Started"</formula>
    </cfRule>
  </conditionalFormatting>
  <dataValidations count="3">
    <dataValidation allowBlank="false" errorStyle="stop" operator="between" showDropDown="false" showErrorMessage="false" showInputMessage="false" sqref="C2:C65" type="list">
      <formula1>"Directed-Valid,Directed-Corner,Directed-Error,Timing,Reset,CSR,Random,Scope-TBD"</formula1>
      <formula2>0</formula2>
    </dataValidation>
    <dataValidation allowBlank="false" errorStyle="stop" operator="between" showDropDown="false" showErrorMessage="false" showInputMessage="false" sqref="D2:D65" type="list">
      <formula1>"High,Medium,Low"</formula1>
      <formula2>0</formula2>
    </dataValidation>
    <dataValidation allowBlank="false" errorStyle="stop" operator="between" showDropDown="false" showErrorMessage="false" showInputMessage="false" sqref="J2:J65" type="list">
      <formula1>"Not Started,In Progress,Passing,Failing,Blocked"</formula1>
      <formula2>0</formula2>
    </dataValidation>
  </dataValidations>
  <printOptions headings="false" gridLines="false" gridLinesSet="true" horizontalCentered="false" verticalCentered="false"/>
  <pageMargins left="0.3" right="0.3" top="0.4" bottom="0.4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2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2"/>
    <col collapsed="false" customWidth="true" hidden="false" outlineLevel="0" max="2" min="2" style="1" width="95"/>
  </cols>
  <sheetData>
    <row r="1" customFormat="false" ht="19.5" hidden="false" customHeight="true" outlineLevel="0" collapsed="false">
      <c r="A1" s="2" t="s">
        <v>421</v>
      </c>
    </row>
    <row r="2" customFormat="false" ht="15" hidden="false" customHeight="true" outlineLevel="0" collapsed="false">
      <c r="A2" s="11"/>
      <c r="B2" s="12"/>
    </row>
    <row r="3" customFormat="false" ht="23.25" hidden="false" customHeight="true" outlineLevel="0" collapsed="false">
      <c r="A3" s="11" t="s">
        <v>422</v>
      </c>
      <c r="B3" s="12" t="s">
        <v>423</v>
      </c>
    </row>
    <row r="4" customFormat="false" ht="15" hidden="false" customHeight="true" outlineLevel="0" collapsed="false">
      <c r="A4" s="11"/>
      <c r="B4" s="12"/>
    </row>
    <row r="5" customFormat="false" ht="15" hidden="false" customHeight="true" outlineLevel="0" collapsed="false">
      <c r="A5" s="1" t="s">
        <v>424</v>
      </c>
      <c r="B5" s="1" t="s">
        <v>425</v>
      </c>
    </row>
    <row r="6" customFormat="false" ht="23.25" hidden="false" customHeight="true" outlineLevel="0" collapsed="false">
      <c r="A6" s="13" t="s">
        <v>27</v>
      </c>
      <c r="B6" s="12" t="s">
        <v>426</v>
      </c>
    </row>
    <row r="7" customFormat="false" ht="15" hidden="false" customHeight="true" outlineLevel="0" collapsed="false">
      <c r="A7" s="13" t="s">
        <v>28</v>
      </c>
      <c r="B7" s="12" t="s">
        <v>427</v>
      </c>
    </row>
    <row r="8" customFormat="false" ht="15" hidden="false" customHeight="true" outlineLevel="0" collapsed="false">
      <c r="A8" s="13" t="s">
        <v>29</v>
      </c>
      <c r="B8" s="12" t="s">
        <v>428</v>
      </c>
    </row>
    <row r="9" customFormat="false" ht="15" hidden="false" customHeight="true" outlineLevel="0" collapsed="false">
      <c r="A9" s="13" t="s">
        <v>30</v>
      </c>
      <c r="B9" s="12" t="s">
        <v>429</v>
      </c>
    </row>
    <row r="10" customFormat="false" ht="23.25" hidden="false" customHeight="true" outlineLevel="0" collapsed="false">
      <c r="A10" s="13" t="s">
        <v>31</v>
      </c>
      <c r="B10" s="12" t="s">
        <v>430</v>
      </c>
    </row>
    <row r="11" customFormat="false" ht="15" hidden="false" customHeight="true" outlineLevel="0" collapsed="false">
      <c r="A11" s="13" t="s">
        <v>32</v>
      </c>
      <c r="B11" s="12" t="s">
        <v>431</v>
      </c>
    </row>
    <row r="12" customFormat="false" ht="15" hidden="false" customHeight="true" outlineLevel="0" collapsed="false">
      <c r="A12" s="13" t="s">
        <v>33</v>
      </c>
      <c r="B12" s="12" t="s">
        <v>432</v>
      </c>
    </row>
    <row r="13" customFormat="false" ht="15" hidden="false" customHeight="true" outlineLevel="0" collapsed="false">
      <c r="A13" s="13" t="s">
        <v>34</v>
      </c>
      <c r="B13" s="12" t="s">
        <v>433</v>
      </c>
    </row>
    <row r="14" customFormat="false" ht="15" hidden="false" customHeight="true" outlineLevel="0" collapsed="false">
      <c r="A14" s="13" t="s">
        <v>35</v>
      </c>
      <c r="B14" s="12" t="s">
        <v>434</v>
      </c>
    </row>
    <row r="15" customFormat="false" ht="15" hidden="false" customHeight="true" outlineLevel="0" collapsed="false">
      <c r="A15" s="13" t="s">
        <v>36</v>
      </c>
      <c r="B15" s="12" t="s">
        <v>435</v>
      </c>
    </row>
    <row r="16" customFormat="false" ht="15" hidden="false" customHeight="true" outlineLevel="0" collapsed="false">
      <c r="A16" s="13" t="s">
        <v>37</v>
      </c>
      <c r="B16" s="12" t="s">
        <v>436</v>
      </c>
    </row>
    <row r="17" customFormat="false" ht="15" hidden="false" customHeight="true" outlineLevel="0" collapsed="false">
      <c r="A17" s="11"/>
      <c r="B17" s="12"/>
    </row>
    <row r="18" customFormat="false" ht="15" hidden="false" customHeight="true" outlineLevel="0" collapsed="false">
      <c r="A18" s="14" t="s">
        <v>437</v>
      </c>
    </row>
    <row r="19" customFormat="false" ht="15" hidden="false" customHeight="true" outlineLevel="0" collapsed="false">
      <c r="A19" s="13" t="s">
        <v>7</v>
      </c>
      <c r="B19" s="12" t="s">
        <v>438</v>
      </c>
    </row>
    <row r="20" customFormat="false" ht="23.25" hidden="false" customHeight="true" outlineLevel="0" collapsed="false">
      <c r="A20" s="13" t="s">
        <v>9</v>
      </c>
      <c r="B20" s="12" t="s">
        <v>439</v>
      </c>
    </row>
    <row r="21" customFormat="false" ht="15" hidden="false" customHeight="true" outlineLevel="0" collapsed="false">
      <c r="A21" s="13" t="s">
        <v>11</v>
      </c>
      <c r="B21" s="12" t="s">
        <v>440</v>
      </c>
    </row>
    <row r="22" customFormat="false" ht="15" hidden="false" customHeight="true" outlineLevel="0" collapsed="false">
      <c r="A22" s="13" t="s">
        <v>13</v>
      </c>
      <c r="B22" s="12" t="s">
        <v>441</v>
      </c>
    </row>
    <row r="23" customFormat="false" ht="15" hidden="false" customHeight="true" outlineLevel="0" collapsed="false">
      <c r="A23" s="13" t="s">
        <v>15</v>
      </c>
      <c r="B23" s="12" t="s">
        <v>442</v>
      </c>
    </row>
    <row r="24" customFormat="false" ht="15" hidden="false" customHeight="true" outlineLevel="0" collapsed="false">
      <c r="A24" s="13" t="s">
        <v>17</v>
      </c>
      <c r="B24" s="12" t="s">
        <v>443</v>
      </c>
    </row>
    <row r="25" customFormat="false" ht="15" hidden="false" customHeight="true" outlineLevel="0" collapsed="false">
      <c r="A25" s="13" t="s">
        <v>18</v>
      </c>
      <c r="B25" s="12" t="s">
        <v>444</v>
      </c>
    </row>
    <row r="26" customFormat="false" ht="23.25" hidden="false" customHeight="true" outlineLevel="0" collapsed="false">
      <c r="A26" s="13" t="s">
        <v>19</v>
      </c>
      <c r="B26" s="12" t="s">
        <v>445</v>
      </c>
    </row>
    <row r="27" customFormat="false" ht="15" hidden="false" customHeight="true" outlineLevel="0" collapsed="false">
      <c r="A27" s="11"/>
      <c r="B27" s="12"/>
    </row>
    <row r="28" customFormat="false" ht="23.25" hidden="false" customHeight="true" outlineLevel="0" collapsed="false">
      <c r="A28" s="13" t="s">
        <v>446</v>
      </c>
      <c r="B28" s="12" t="s">
        <v>447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2026-09-17T08:52:58Z</dcterms:created>
  <dc:creator>openpyxl</dc:creator>
  <dc:description/>
  <dc:language>en-US</dc:language>
  <cp:lastModifiedBy/>
  <dcterms:modified xsi:type="dcterms:W3CDTF">2026-09-17T08:53:23Z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